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urion-my.sharepoint.com/personal/darcy_lin_asurion_com/Documents/Desktop/AIIA Handover/04.上課提醒/亞勝員工/"/>
    </mc:Choice>
  </mc:AlternateContent>
  <xr:revisionPtr revIDLastSave="44" documentId="8_{1D90D3BC-A80F-4418-A64E-63C8680E73F8}" xr6:coauthVersionLast="47" xr6:coauthVersionMax="47" xr10:uidLastSave="{3AA7FB4B-03B7-495C-9621-E9BD6C45C87A}"/>
  <bookViews>
    <workbookView xWindow="-110" yWindow="-110" windowWidth="19420" windowHeight="10300" xr2:uid="{A89CB3D3-E6D3-4BC7-B259-07C5D091AC95}"/>
  </bookViews>
  <sheets>
    <sheet name="內訓+保發中心(訓練年度)" sheetId="3" r:id="rId1"/>
    <sheet name="高齡+洗防+公平待課(20261231到期)" sheetId="2" r:id="rId2"/>
    <sheet name="工作表1" sheetId="7" state="hidden" r:id="rId3"/>
  </sheets>
  <externalReferences>
    <externalReference r:id="rId4"/>
  </externalReferences>
  <definedNames>
    <definedName name="_xlnm._FilterDatabase" localSheetId="2" hidden="1">工作表1!$A$1:$Q$29</definedName>
    <definedName name="_xlnm._FilterDatabase" localSheetId="0" hidden="1">'內訓+保發中心(訓練年度)'!$A$1:$I$1</definedName>
    <definedName name="_xlnm._FilterDatabase" localSheetId="1" hidden="1">'高齡+洗防+公平待課(20261231到期)'!$A$1:$H$10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C11" i="2"/>
  <c r="C10" i="2"/>
  <c r="C9" i="2"/>
  <c r="C8" i="2"/>
  <c r="C7" i="2"/>
  <c r="C6" i="2"/>
  <c r="C5" i="2"/>
  <c r="C4" i="2"/>
  <c r="C3" i="2"/>
  <c r="C2" i="2"/>
  <c r="C3" i="3"/>
  <c r="C4" i="3"/>
  <c r="C5" i="3"/>
  <c r="C6" i="3"/>
  <c r="C7" i="3"/>
  <c r="C8" i="3"/>
  <c r="C9" i="3"/>
  <c r="C10" i="3"/>
  <c r="C11" i="3"/>
  <c r="C12" i="3"/>
  <c r="C2" i="3"/>
</calcChain>
</file>

<file path=xl/sharedStrings.xml><?xml version="1.0" encoding="utf-8"?>
<sst xmlns="http://schemas.openxmlformats.org/spreadsheetml/2006/main" count="441" uniqueCount="141">
  <si>
    <r>
      <rPr>
        <sz val="12"/>
        <color theme="1"/>
        <rFont val="新細明體"/>
        <family val="2"/>
        <charset val="136"/>
      </rPr>
      <t>姓名</t>
    </r>
  </si>
  <si>
    <r>
      <t>email address(</t>
    </r>
    <r>
      <rPr>
        <sz val="12"/>
        <color theme="1"/>
        <rFont val="新細明體"/>
        <family val="2"/>
        <charset val="136"/>
      </rPr>
      <t>個人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</si>
  <si>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新細明體"/>
        <family val="2"/>
        <charset val="136"/>
      </rPr>
      <t>登錄證號</t>
    </r>
  </si>
  <si>
    <r>
      <rPr>
        <sz val="12"/>
        <color theme="1"/>
        <rFont val="新細明體"/>
        <family val="2"/>
        <charset val="136"/>
      </rPr>
      <t>訓練開始日</t>
    </r>
  </si>
  <si>
    <r>
      <rPr>
        <sz val="12"/>
        <color theme="1"/>
        <rFont val="新細明體"/>
        <family val="2"/>
        <charset val="136"/>
      </rPr>
      <t>訓練到期日</t>
    </r>
  </si>
  <si>
    <r>
      <rPr>
        <sz val="12"/>
        <color theme="1"/>
        <rFont val="新細明體"/>
        <family val="2"/>
        <charset val="136"/>
      </rPr>
      <t>公司內訓</t>
    </r>
    <r>
      <rPr>
        <sz val="12"/>
        <color theme="1"/>
        <rFont val="Calibri"/>
        <family val="2"/>
      </rPr>
      <t>-</t>
    </r>
    <r>
      <rPr>
        <sz val="12"/>
        <color theme="1"/>
        <rFont val="新細明體"/>
        <family val="2"/>
        <charset val="136"/>
      </rPr>
      <t>完成狀態</t>
    </r>
  </si>
  <si>
    <t>Riven.Huang@asurion.com</t>
  </si>
  <si>
    <t>FA6K904169</t>
  </si>
  <si>
    <t>Ray.feng@asurion.com</t>
  </si>
  <si>
    <t>PA6F812229</t>
  </si>
  <si>
    <t>sherry.lin@asurion.com</t>
  </si>
  <si>
    <t>HA3G702043</t>
  </si>
  <si>
    <t>Leo.Lee@asurion.com</t>
  </si>
  <si>
    <t>AA6L898095</t>
  </si>
  <si>
    <t>Chris.Huang@asurion.com</t>
  </si>
  <si>
    <t>HA6E896684</t>
  </si>
  <si>
    <t>Evan.Liu@asurion.com</t>
  </si>
  <si>
    <t>FA6K896627</t>
  </si>
  <si>
    <t>Alan.Shen@asurion.com</t>
  </si>
  <si>
    <t>FA6F900834</t>
  </si>
  <si>
    <t>David.Huang@asurion.com</t>
  </si>
  <si>
    <t>AA6G894805</t>
  </si>
  <si>
    <t>amber.wang@asurion.com</t>
  </si>
  <si>
    <t>F32F753270</t>
  </si>
  <si>
    <t>Howard.Chen@asurion.com</t>
  </si>
  <si>
    <t>HA6F899214</t>
  </si>
  <si>
    <t>Kevin.Lin@asurion.com</t>
  </si>
  <si>
    <t>AA6E873203</t>
  </si>
  <si>
    <t>johnnyshch@gmail.com</t>
  </si>
  <si>
    <t>EA6J909568</t>
  </si>
  <si>
    <t>PA6D912388</t>
  </si>
  <si>
    <t>Nero.Lee@asurion.com</t>
  </si>
  <si>
    <t>FA6I835362</t>
  </si>
  <si>
    <t>Jacky.Lee@asurion.com</t>
  </si>
  <si>
    <t>FA6E150188</t>
  </si>
  <si>
    <t>Gina.Wu@asurion.com</t>
  </si>
  <si>
    <t>AA6G837664</t>
  </si>
  <si>
    <t>Leon.Wu@asurion.com</t>
  </si>
  <si>
    <t>PA6G835360</t>
  </si>
  <si>
    <t>Melon.Lin@asurion.com</t>
  </si>
  <si>
    <t>PA6I835713</t>
  </si>
  <si>
    <t>Will.tsai@asurion.com</t>
  </si>
  <si>
    <t>QA6F819762</t>
  </si>
  <si>
    <t>Kevin.Hung@asurion.com</t>
  </si>
  <si>
    <t>JA6H835361</t>
  </si>
  <si>
    <t>misty.chang@asurion.com</t>
  </si>
  <si>
    <t>BA6C850809</t>
  </si>
  <si>
    <t>Molly.song@asurion.com</t>
  </si>
  <si>
    <t>FA6I716049</t>
  </si>
  <si>
    <t>fanda.chang@asurion.com</t>
  </si>
  <si>
    <t>NA6G719908</t>
  </si>
  <si>
    <t>Cora.chen@asurion.com</t>
  </si>
  <si>
    <t>NA6C716052</t>
  </si>
  <si>
    <t>Alex.Huang@asurion.com</t>
  </si>
  <si>
    <t>DA6K715997</t>
  </si>
  <si>
    <t>yesman.huang@asurion.com</t>
  </si>
  <si>
    <t>EA6I719910</t>
  </si>
  <si>
    <t>DANNY.CHANG@asurion.com</t>
  </si>
  <si>
    <t>MA6F719907</t>
  </si>
  <si>
    <t>andy.lu@asurion.com</t>
  </si>
  <si>
    <t>AA6E798260</t>
  </si>
  <si>
    <r>
      <rPr>
        <sz val="12"/>
        <color theme="1"/>
        <rFont val="微軟正黑體"/>
        <family val="2"/>
        <charset val="136"/>
      </rPr>
      <t>姓名</t>
    </r>
  </si>
  <si>
    <r>
      <rPr>
        <sz val="12"/>
        <color theme="1"/>
        <rFont val="微軟正黑體"/>
        <family val="2"/>
        <charset val="136"/>
      </rPr>
      <t>登錄證號</t>
    </r>
  </si>
  <si>
    <r>
      <t>AL</t>
    </r>
    <r>
      <rPr>
        <sz val="12"/>
        <color theme="1"/>
        <rFont val="微軟正黑體"/>
        <family val="2"/>
        <charset val="136"/>
      </rPr>
      <t>帳號</t>
    </r>
  </si>
  <si>
    <r>
      <t>AL</t>
    </r>
    <r>
      <rPr>
        <sz val="12"/>
        <color theme="1"/>
        <rFont val="微軟正黑體"/>
        <family val="2"/>
        <charset val="136"/>
      </rPr>
      <t>密碼</t>
    </r>
  </si>
  <si>
    <r>
      <rPr>
        <sz val="12"/>
        <color theme="1"/>
        <rFont val="微軟正黑體"/>
        <family val="2"/>
        <charset val="136"/>
      </rPr>
      <t>狀態</t>
    </r>
  </si>
  <si>
    <r>
      <rPr>
        <sz val="12"/>
        <color theme="1"/>
        <rFont val="微軟正黑體"/>
        <family val="2"/>
        <charset val="136"/>
      </rPr>
      <t>已登錄時間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年</t>
    </r>
    <r>
      <rPr>
        <sz val="12"/>
        <color theme="1"/>
        <rFont val="Calibri"/>
        <family val="2"/>
      </rPr>
      <t>)</t>
    </r>
  </si>
  <si>
    <r>
      <t xml:space="preserve"> </t>
    </r>
    <r>
      <rPr>
        <sz val="12"/>
        <color theme="1"/>
        <rFont val="微軟正黑體"/>
        <family val="2"/>
        <charset val="136"/>
      </rPr>
      <t>訓練年度</t>
    </r>
  </si>
  <si>
    <r>
      <rPr>
        <sz val="12"/>
        <color theme="1"/>
        <rFont val="微軟正黑體"/>
        <family val="2"/>
        <charset val="136"/>
      </rPr>
      <t>訓練開始日</t>
    </r>
  </si>
  <si>
    <r>
      <rPr>
        <sz val="12"/>
        <color theme="1"/>
        <rFont val="微軟正黑體"/>
        <family val="2"/>
        <charset val="136"/>
      </rPr>
      <t>訓練到期日</t>
    </r>
  </si>
  <si>
    <r>
      <rPr>
        <sz val="12"/>
        <color theme="1"/>
        <rFont val="微軟正黑體"/>
        <family val="2"/>
        <charset val="136"/>
      </rPr>
      <t>公司內訓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完成狀態</t>
    </r>
  </si>
  <si>
    <r>
      <rPr>
        <sz val="12"/>
        <color theme="1"/>
        <rFont val="微軟正黑體"/>
        <family val="2"/>
        <charset val="136"/>
      </rPr>
      <t>保發中心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完成狀態</t>
    </r>
  </si>
  <si>
    <r>
      <rPr>
        <sz val="12"/>
        <color theme="1"/>
        <rFont val="微軟正黑體"/>
        <family val="2"/>
        <charset val="136"/>
      </rPr>
      <t>保發中心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剩餘應修</t>
    </r>
  </si>
  <si>
    <r>
      <rPr>
        <sz val="12"/>
        <color theme="1"/>
        <rFont val="微軟正黑體"/>
        <family val="2"/>
        <charset val="136"/>
      </rPr>
      <t>洗防課程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完成狀態</t>
    </r>
  </si>
  <si>
    <r>
      <rPr>
        <sz val="12"/>
        <color theme="1"/>
        <rFont val="微軟正黑體"/>
        <family val="2"/>
        <charset val="136"/>
      </rPr>
      <t>高齡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完成情況</t>
    </r>
  </si>
  <si>
    <r>
      <rPr>
        <sz val="12"/>
        <color theme="1"/>
        <rFont val="微軟正黑體"/>
        <family val="2"/>
        <charset val="136"/>
      </rPr>
      <t>公平待客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完成狀態</t>
    </r>
  </si>
  <si>
    <r>
      <rPr>
        <sz val="12"/>
        <color theme="1"/>
        <rFont val="微軟正黑體"/>
        <family val="2"/>
        <charset val="136"/>
      </rPr>
      <t>黃椿翔</t>
    </r>
  </si>
  <si>
    <r>
      <rPr>
        <sz val="12"/>
        <color theme="1"/>
        <rFont val="微軟正黑體"/>
        <family val="2"/>
        <charset val="136"/>
      </rPr>
      <t>有效</t>
    </r>
  </si>
  <si>
    <t>1.3</t>
  </si>
  <si>
    <r>
      <rPr>
        <sz val="12"/>
        <color theme="1"/>
        <rFont val="微軟正黑體"/>
        <family val="2"/>
        <charset val="136"/>
      </rPr>
      <t>未完成</t>
    </r>
  </si>
  <si>
    <r>
      <rPr>
        <sz val="12"/>
        <color theme="1"/>
        <rFont val="微軟正黑體"/>
        <family val="2"/>
        <charset val="136"/>
      </rPr>
      <t>陳泀翰</t>
    </r>
  </si>
  <si>
    <r>
      <rPr>
        <sz val="12"/>
        <color theme="1"/>
        <rFont val="微軟正黑體"/>
        <family val="2"/>
        <charset val="136"/>
      </rPr>
      <t>張品儀</t>
    </r>
  </si>
  <si>
    <t>1.1</t>
  </si>
  <si>
    <r>
      <rPr>
        <sz val="12"/>
        <color theme="1"/>
        <rFont val="微軟正黑體"/>
        <family val="2"/>
        <charset val="136"/>
      </rPr>
      <t>已逾期</t>
    </r>
  </si>
  <si>
    <r>
      <rPr>
        <sz val="12"/>
        <color theme="1"/>
        <rFont val="微軟正黑體"/>
        <family val="2"/>
        <charset val="136"/>
      </rPr>
      <t>李誌緯</t>
    </r>
  </si>
  <si>
    <t>4.1</t>
  </si>
  <si>
    <r>
      <rPr>
        <sz val="12"/>
        <color theme="1"/>
        <rFont val="微軟正黑體"/>
        <family val="2"/>
        <charset val="136"/>
      </rPr>
      <t>已完成</t>
    </r>
  </si>
  <si>
    <r>
      <rPr>
        <sz val="12"/>
        <color theme="1"/>
        <rFont val="微軟正黑體"/>
        <family val="2"/>
        <charset val="136"/>
      </rPr>
      <t>李宗遠</t>
    </r>
  </si>
  <si>
    <t>4</t>
  </si>
  <si>
    <r>
      <rPr>
        <sz val="12"/>
        <color theme="1"/>
        <rFont val="微軟正黑體"/>
        <family val="2"/>
        <charset val="136"/>
      </rPr>
      <t>吳慧瑩</t>
    </r>
  </si>
  <si>
    <r>
      <rPr>
        <sz val="12"/>
        <color theme="1"/>
        <rFont val="微軟正黑體"/>
        <family val="2"/>
        <charset val="136"/>
      </rPr>
      <t>吳東安</t>
    </r>
  </si>
  <si>
    <r>
      <rPr>
        <sz val="12"/>
        <color theme="1"/>
        <rFont val="微軟正黑體"/>
        <family val="2"/>
        <charset val="136"/>
      </rPr>
      <t>林宗賢</t>
    </r>
  </si>
  <si>
    <r>
      <rPr>
        <sz val="12"/>
        <color theme="1"/>
        <rFont val="微軟正黑體"/>
        <family val="2"/>
        <charset val="136"/>
      </rPr>
      <t>蔡聆偉</t>
    </r>
  </si>
  <si>
    <t>4.3</t>
  </si>
  <si>
    <r>
      <rPr>
        <sz val="12"/>
        <color theme="1"/>
        <rFont val="微軟正黑體"/>
        <family val="2"/>
        <charset val="136"/>
      </rPr>
      <t>馮冠瑋</t>
    </r>
  </si>
  <si>
    <r>
      <rPr>
        <sz val="12"/>
        <color theme="1"/>
        <rFont val="微軟正黑體"/>
        <family val="2"/>
        <charset val="136"/>
      </rPr>
      <t>洪文棋</t>
    </r>
  </si>
  <si>
    <r>
      <rPr>
        <sz val="12"/>
        <color theme="1"/>
        <rFont val="微軟正黑體"/>
        <family val="2"/>
        <charset val="136"/>
      </rPr>
      <t>張祐綺</t>
    </r>
  </si>
  <si>
    <t>3.4</t>
  </si>
  <si>
    <r>
      <rPr>
        <sz val="12"/>
        <color theme="1"/>
        <rFont val="微軟正黑體"/>
        <family val="2"/>
        <charset val="136"/>
      </rPr>
      <t>林舒婷</t>
    </r>
  </si>
  <si>
    <t>2.6</t>
  </si>
  <si>
    <r>
      <rPr>
        <sz val="12"/>
        <color theme="1"/>
        <rFont val="微軟正黑體"/>
        <family val="2"/>
        <charset val="136"/>
      </rPr>
      <t>宋芷婷</t>
    </r>
  </si>
  <si>
    <t>2.4</t>
  </si>
  <si>
    <r>
      <rPr>
        <sz val="12"/>
        <color theme="1"/>
        <rFont val="微軟正黑體"/>
        <family val="2"/>
        <charset val="136"/>
      </rPr>
      <t>張競文</t>
    </r>
  </si>
  <si>
    <r>
      <rPr>
        <sz val="12"/>
        <color theme="1"/>
        <rFont val="微軟正黑體"/>
        <family val="2"/>
        <charset val="136"/>
      </rPr>
      <t>林峙廷</t>
    </r>
  </si>
  <si>
    <r>
      <rPr>
        <sz val="12"/>
        <color theme="1"/>
        <rFont val="微軟正黑體"/>
        <family val="2"/>
        <charset val="136"/>
      </rPr>
      <t>陳玉青</t>
    </r>
  </si>
  <si>
    <r>
      <rPr>
        <sz val="12"/>
        <color theme="1"/>
        <rFont val="微軟正黑體"/>
        <family val="2"/>
        <charset val="136"/>
      </rPr>
      <t>黃健誠</t>
    </r>
  </si>
  <si>
    <r>
      <rPr>
        <sz val="12"/>
        <color theme="1"/>
        <rFont val="微軟正黑體"/>
        <family val="2"/>
        <charset val="136"/>
      </rPr>
      <t>李咏旭</t>
    </r>
  </si>
  <si>
    <t>1.7</t>
  </si>
  <si>
    <r>
      <rPr>
        <sz val="12"/>
        <color theme="1"/>
        <rFont val="微軟正黑體"/>
        <family val="2"/>
        <charset val="136"/>
      </rPr>
      <t>黃盈舜</t>
    </r>
  </si>
  <si>
    <r>
      <rPr>
        <sz val="12"/>
        <color theme="1"/>
        <rFont val="微軟正黑體"/>
        <family val="2"/>
        <charset val="136"/>
      </rPr>
      <t>劉柏緯</t>
    </r>
  </si>
  <si>
    <t>1.5</t>
  </si>
  <si>
    <r>
      <rPr>
        <sz val="12"/>
        <color theme="1"/>
        <rFont val="微軟正黑體"/>
        <family val="2"/>
        <charset val="136"/>
      </rPr>
      <t>黃琮崧</t>
    </r>
  </si>
  <si>
    <r>
      <rPr>
        <sz val="12"/>
        <color theme="1"/>
        <rFont val="微軟正黑體"/>
        <family val="2"/>
        <charset val="136"/>
      </rPr>
      <t>張晊嘉</t>
    </r>
  </si>
  <si>
    <r>
      <rPr>
        <sz val="12"/>
        <color theme="1"/>
        <rFont val="微軟正黑體"/>
        <family val="2"/>
        <charset val="136"/>
      </rPr>
      <t>沈旺</t>
    </r>
  </si>
  <si>
    <t>1.6</t>
  </si>
  <si>
    <r>
      <rPr>
        <sz val="12"/>
        <color theme="1"/>
        <rFont val="微軟正黑體"/>
        <family val="2"/>
        <charset val="136"/>
      </rPr>
      <t>黃大忠</t>
    </r>
  </si>
  <si>
    <r>
      <rPr>
        <sz val="12"/>
        <color theme="1"/>
        <rFont val="微軟正黑體"/>
        <family val="2"/>
        <charset val="136"/>
      </rPr>
      <t>王惠香</t>
    </r>
  </si>
  <si>
    <t>1</t>
  </si>
  <si>
    <r>
      <rPr>
        <sz val="12"/>
        <color theme="1"/>
        <rFont val="微軟正黑體"/>
        <family val="2"/>
        <charset val="136"/>
      </rPr>
      <t>陳哲浩</t>
    </r>
  </si>
  <si>
    <r>
      <rPr>
        <sz val="12"/>
        <color theme="1"/>
        <rFont val="微軟正黑體"/>
        <family val="2"/>
        <charset val="136"/>
      </rPr>
      <t>陸嗣禮</t>
    </r>
  </si>
  <si>
    <t>HQ/CC</t>
    <phoneticPr fontId="4" type="noConversion"/>
  </si>
  <si>
    <t>CC</t>
    <phoneticPr fontId="4" type="noConversion"/>
  </si>
  <si>
    <t>HQ</t>
    <phoneticPr fontId="4" type="noConversion"/>
  </si>
  <si>
    <t>已完成</t>
    <phoneticPr fontId="4" type="noConversion"/>
  </si>
  <si>
    <t>email</t>
    <phoneticPr fontId="4" type="noConversion"/>
  </si>
  <si>
    <t>winnie.chang@asurion.com</t>
  </si>
  <si>
    <t>洗防課程-完成狀態</t>
  </si>
  <si>
    <t>高齡-完成情況</t>
  </si>
  <si>
    <r>
      <rPr>
        <sz val="12"/>
        <color theme="1"/>
        <rFont val="新細明體"/>
        <family val="2"/>
        <charset val="136"/>
      </rPr>
      <t>保發中心</t>
    </r>
    <r>
      <rPr>
        <sz val="12"/>
        <color theme="1"/>
        <rFont val="Calibri"/>
        <family val="2"/>
      </rPr>
      <t>-</t>
    </r>
    <r>
      <rPr>
        <sz val="12"/>
        <color theme="1"/>
        <rFont val="新細明體"/>
        <family val="2"/>
        <charset val="136"/>
      </rPr>
      <t>完成狀態</t>
    </r>
    <phoneticPr fontId="4" type="noConversion"/>
  </si>
  <si>
    <r>
      <rPr>
        <sz val="12"/>
        <color theme="1"/>
        <rFont val="細明體"/>
        <family val="2"/>
        <charset val="136"/>
      </rPr>
      <t>保發中心</t>
    </r>
    <r>
      <rPr>
        <sz val="12"/>
        <color theme="1"/>
        <rFont val="Calibri"/>
        <family val="2"/>
      </rPr>
      <t>-</t>
    </r>
    <r>
      <rPr>
        <sz val="12"/>
        <color theme="1"/>
        <rFont val="Microsoft JhengHei"/>
        <family val="2"/>
      </rPr>
      <t>剩餘堂數</t>
    </r>
    <phoneticPr fontId="4" type="noConversion"/>
  </si>
  <si>
    <t>未完成</t>
  </si>
  <si>
    <t>已完成</t>
  </si>
  <si>
    <t>jiankai.ding@asurion.com</t>
  </si>
  <si>
    <t>rex.liao@asurion.com</t>
  </si>
  <si>
    <t>Alex.Chen@asurion.com</t>
  </si>
  <si>
    <r>
      <rPr>
        <sz val="12"/>
        <color theme="1"/>
        <rFont val="新細明體"/>
        <family val="2"/>
        <charset val="136"/>
      </rPr>
      <t>公司內訓</t>
    </r>
    <r>
      <rPr>
        <sz val="12"/>
        <color theme="1"/>
        <rFont val="Calibri"/>
        <family val="2"/>
      </rPr>
      <t>-</t>
    </r>
    <r>
      <rPr>
        <sz val="12"/>
        <color theme="1"/>
        <rFont val="Microsoft JhengHei"/>
        <family val="2"/>
      </rPr>
      <t>剩餘堂數</t>
    </r>
    <phoneticPr fontId="4" type="noConversion"/>
  </si>
  <si>
    <r>
      <rPr>
        <sz val="12"/>
        <color theme="1"/>
        <rFont val="新細明體"/>
        <family val="2"/>
        <charset val="136"/>
      </rPr>
      <t>公平待客</t>
    </r>
    <r>
      <rPr>
        <sz val="12"/>
        <color theme="1"/>
        <rFont val="Calibri"/>
        <family val="2"/>
      </rPr>
      <t>-</t>
    </r>
    <r>
      <rPr>
        <sz val="12"/>
        <color theme="1"/>
        <rFont val="新細明體"/>
        <family val="2"/>
        <charset val="136"/>
      </rPr>
      <t>完成狀態</t>
    </r>
  </si>
  <si>
    <r>
      <rPr>
        <sz val="12"/>
        <color theme="1"/>
        <rFont val="微軟正黑體"/>
        <family val="2"/>
        <charset val="136"/>
      </rPr>
      <t>已完成</t>
    </r>
    <phoneticPr fontId="4" type="noConversion"/>
  </si>
  <si>
    <r>
      <rPr>
        <sz val="12"/>
        <color theme="1"/>
        <rFont val="微軟正黑體"/>
        <family val="2"/>
        <charset val="136"/>
      </rPr>
      <t>廖哲麟</t>
    </r>
  </si>
  <si>
    <r>
      <rPr>
        <sz val="12"/>
        <color theme="1"/>
        <rFont val="微軟正黑體"/>
        <family val="2"/>
        <charset val="136"/>
      </rPr>
      <t>丁建凱</t>
    </r>
  </si>
  <si>
    <r>
      <rPr>
        <sz val="12"/>
        <color theme="1"/>
        <rFont val="微軟正黑體"/>
        <family val="2"/>
        <charset val="136"/>
      </rPr>
      <t>陳俊廷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</si>
</sst>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yyyy/mm/dd"/>
  </numFmts>
  <fonts count="1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Calibri"/>
      <family val="2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2"/>
      <color theme="1"/>
      <name val="細明體"/>
      <family val="2"/>
      <charset val="136"/>
    </font>
    <font>
      <u/>
      <sz val="12"/>
      <color theme="10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176" fontId="3" fillId="0" borderId="0" xfId="1" applyNumberFormat="1" applyFont="1" applyAlignment="1">
      <alignment vertical="center"/>
    </xf>
    <xf numFmtId="0" fontId="3" fillId="0" borderId="0" xfId="0" applyFont="1" applyAlignment="1"/>
    <xf numFmtId="176" fontId="3" fillId="0" borderId="0" xfId="0" applyNumberFormat="1" applyFont="1" applyAlignment="1"/>
    <xf numFmtId="0" fontId="6" fillId="0" borderId="0" xfId="0" applyFont="1" applyAlignment="1"/>
    <xf numFmtId="176" fontId="3" fillId="0" borderId="0" xfId="0" applyNumberFormat="1" applyFont="1">
      <alignment vertical="center"/>
    </xf>
    <xf numFmtId="0" fontId="3" fillId="2" borderId="0" xfId="0" applyFont="1" applyFill="1">
      <alignment vertical="center"/>
    </xf>
    <xf numFmtId="0" fontId="5" fillId="0" borderId="0" xfId="0" applyFont="1">
      <alignment vertical="center"/>
    </xf>
    <xf numFmtId="0" fontId="3" fillId="0" borderId="0" xfId="2" applyFont="1">
      <alignment vertical="center"/>
    </xf>
  </cellXfs>
  <cellStyles count="3">
    <cellStyle name="一般" xfId="0" builtinId="0"/>
    <cellStyle name="千分位" xfId="1" builtinId="3"/>
    <cellStyle name="超連結" xfId="2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2.&#35347;&#32244;&#32173;&#35703;/Training%20&amp;%20Performance%20report%2020260709.xlsx" TargetMode="External"/><Relationship Id="rId2" Type="http://schemas.openxmlformats.org/officeDocument/2006/relationships/externalLinkPath" Target="https://asurion-my.sharepoint.com/personal/darcy_lin_asurion_com/Documents/Desktop/AIIA%20Handover/02.&#35347;&#32244;&#32173;&#35703;/Training%20&amp;%20Performance%20report%2020260709.xlsx" TargetMode="External"/><Relationship Id="rId1" Type="http://schemas.openxmlformats.org/officeDocument/2006/relationships/externalLinkPath" Target="/personal/darcy_lin_asurion_com/Documents/Desktop/AIIA%20Handover/02.&#35347;&#32244;&#32173;&#35703;/Training%20&amp;%20Performance%20report%20202607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工作表1"/>
      <sheetName val="亞勝未完訓清單"/>
      <sheetName val="聯強未完訓清單"/>
      <sheetName val="Test"/>
    </sheetNames>
    <sheetDataSet>
      <sheetData sheetId="0"/>
      <sheetData sheetId="1">
        <row r="1">
          <cell r="B1" t="str">
            <v>姓名</v>
          </cell>
          <cell r="C1" t="str">
            <v>區域</v>
          </cell>
          <cell r="D1" t="str">
            <v>email address(個人)</v>
          </cell>
          <cell r="E1" t="str">
            <v>經銷商名稱</v>
          </cell>
          <cell r="F1" t="str">
            <v>經銷商代碼</v>
          </cell>
          <cell r="G1" t="str">
            <v>CMR</v>
          </cell>
          <cell r="H1" t="str">
            <v>TS</v>
          </cell>
          <cell r="I1" t="str">
            <v>登錄證號</v>
          </cell>
        </row>
        <row r="2">
          <cell r="B2" t="str">
            <v>吳東安</v>
          </cell>
          <cell r="C2" t="str">
            <v>亞勝</v>
          </cell>
          <cell r="D2" t="str">
            <v>Leon.Wu@asurion.com</v>
          </cell>
          <cell r="E2" t="str">
            <v>亞勝</v>
          </cell>
          <cell r="I2" t="str">
            <v>PA6G835360</v>
          </cell>
        </row>
        <row r="3">
          <cell r="B3" t="str">
            <v>李宗遠</v>
          </cell>
          <cell r="C3" t="str">
            <v>亞勝</v>
          </cell>
          <cell r="D3" t="str">
            <v>Jacky.Lee@asurion.com</v>
          </cell>
          <cell r="E3" t="str">
            <v>亞勝</v>
          </cell>
          <cell r="I3" t="str">
            <v>FA6E150188</v>
          </cell>
        </row>
        <row r="4">
          <cell r="B4" t="str">
            <v>廖哲麟</v>
          </cell>
          <cell r="C4" t="str">
            <v>亞勝</v>
          </cell>
          <cell r="D4" t="str">
            <v>rex.liao@asurion.com</v>
          </cell>
          <cell r="E4" t="str">
            <v>亞勝</v>
          </cell>
          <cell r="I4" t="str">
            <v>FA6J815734</v>
          </cell>
        </row>
        <row r="5">
          <cell r="B5" t="str">
            <v>洪文棋</v>
          </cell>
          <cell r="C5" t="str">
            <v>亞勝</v>
          </cell>
          <cell r="D5" t="str">
            <v>Kevin.Hung@asurion.com</v>
          </cell>
          <cell r="E5" t="str">
            <v>亞勝</v>
          </cell>
          <cell r="I5" t="str">
            <v>JA6H835361</v>
          </cell>
        </row>
        <row r="6">
          <cell r="B6" t="str">
            <v>李誌緯</v>
          </cell>
          <cell r="C6" t="str">
            <v>亞勝</v>
          </cell>
          <cell r="D6" t="str">
            <v>Nero.Lee@asurion.com</v>
          </cell>
          <cell r="E6" t="str">
            <v>亞勝</v>
          </cell>
          <cell r="I6" t="str">
            <v>FA6I835362</v>
          </cell>
        </row>
        <row r="7">
          <cell r="B7" t="str">
            <v>丁建凱</v>
          </cell>
          <cell r="C7" t="str">
            <v>亞勝</v>
          </cell>
          <cell r="D7" t="str">
            <v>jiankai.ding@asurion.com</v>
          </cell>
          <cell r="E7" t="str">
            <v>亞勝</v>
          </cell>
          <cell r="I7" t="str">
            <v>PA6002418F</v>
          </cell>
        </row>
        <row r="8">
          <cell r="B8" t="str">
            <v>吳慧瑩</v>
          </cell>
          <cell r="C8" t="str">
            <v>亞勝</v>
          </cell>
          <cell r="D8" t="str">
            <v>Gina.Wu@asurion.com</v>
          </cell>
          <cell r="E8" t="str">
            <v>亞勝</v>
          </cell>
          <cell r="I8" t="str">
            <v>AA6G837664</v>
          </cell>
        </row>
        <row r="9">
          <cell r="B9" t="str">
            <v>宋芷婷</v>
          </cell>
          <cell r="C9" t="str">
            <v>亞勝</v>
          </cell>
          <cell r="D9" t="str">
            <v>Molly.song@asurion.com</v>
          </cell>
          <cell r="E9" t="str">
            <v>亞勝</v>
          </cell>
          <cell r="I9" t="str">
            <v>FA6I716049</v>
          </cell>
        </row>
        <row r="10">
          <cell r="B10" t="str">
            <v>張競文</v>
          </cell>
          <cell r="C10" t="str">
            <v>亞勝</v>
          </cell>
          <cell r="D10" t="str">
            <v>fanda.chang@asurion.com</v>
          </cell>
          <cell r="E10" t="str">
            <v>亞勝</v>
          </cell>
          <cell r="I10" t="str">
            <v>NA6G719908</v>
          </cell>
        </row>
        <row r="11">
          <cell r="B11" t="str">
            <v>陳哲浩</v>
          </cell>
          <cell r="C11" t="str">
            <v>亞勝</v>
          </cell>
          <cell r="D11" t="str">
            <v>Howard.Chen@asurion.com</v>
          </cell>
          <cell r="E11" t="str">
            <v>亞勝</v>
          </cell>
          <cell r="I11" t="str">
            <v>HA6F899214</v>
          </cell>
        </row>
        <row r="12">
          <cell r="B12" t="str">
            <v>林雅惠</v>
          </cell>
          <cell r="C12" t="str">
            <v>亞勝</v>
          </cell>
          <cell r="D12" t="str">
            <v>darcy.lin@asurion.com</v>
          </cell>
          <cell r="E12" t="str">
            <v>亞勝</v>
          </cell>
          <cell r="I12" t="str">
            <v>EA6000226A</v>
          </cell>
        </row>
        <row r="13">
          <cell r="B13" t="str">
            <v>林舒婷</v>
          </cell>
          <cell r="C13" t="str">
            <v>亞勝</v>
          </cell>
          <cell r="D13" t="str">
            <v>sherry.lin@asurion.com</v>
          </cell>
          <cell r="E13" t="str">
            <v>亞勝</v>
          </cell>
          <cell r="I13" t="str">
            <v>HA3G702043</v>
          </cell>
        </row>
        <row r="14">
          <cell r="B14" t="str">
            <v>張晊嘉</v>
          </cell>
          <cell r="C14" t="str">
            <v>亞勝</v>
          </cell>
          <cell r="D14" t="str">
            <v>DANNY.CHANG@asurion.com</v>
          </cell>
          <cell r="E14" t="str">
            <v>亞勝</v>
          </cell>
          <cell r="I14" t="str">
            <v>MA6F719907</v>
          </cell>
        </row>
        <row r="15">
          <cell r="B15" t="str">
            <v>陳俊廷</v>
          </cell>
          <cell r="C15" t="str">
            <v>亞勝</v>
          </cell>
          <cell r="D15" t="str">
            <v>Alex.Chen@asurion.com</v>
          </cell>
          <cell r="E15" t="str">
            <v>亞勝</v>
          </cell>
          <cell r="I15" t="str">
            <v>FA6D878665</v>
          </cell>
        </row>
        <row r="16">
          <cell r="B16" t="str">
            <v>張品儀</v>
          </cell>
          <cell r="C16" t="str">
            <v>亞勝</v>
          </cell>
          <cell r="D16" t="str">
            <v>winnie.chang@asurion.com</v>
          </cell>
          <cell r="E16" t="str">
            <v>亞勝</v>
          </cell>
          <cell r="I16" t="str">
            <v>PA6D912388</v>
          </cell>
        </row>
        <row r="17">
          <cell r="B17" t="str">
            <v>蔡聆偉</v>
          </cell>
          <cell r="C17" t="str">
            <v>亞勝</v>
          </cell>
          <cell r="D17" t="str">
            <v>Will.tsai@asurion.com</v>
          </cell>
          <cell r="E17" t="str">
            <v>亞勝</v>
          </cell>
          <cell r="I17" t="str">
            <v>QA6F819762</v>
          </cell>
        </row>
        <row r="18">
          <cell r="B18" t="str">
            <v>黃琮崧</v>
          </cell>
          <cell r="C18" t="str">
            <v>亞勝</v>
          </cell>
          <cell r="D18" t="str">
            <v>yesman.huang@asurion.com</v>
          </cell>
          <cell r="E18" t="str">
            <v>亞勝</v>
          </cell>
          <cell r="I18" t="str">
            <v>EA6I719910</v>
          </cell>
        </row>
        <row r="19">
          <cell r="B19" t="str">
            <v>劉柏緯</v>
          </cell>
          <cell r="C19" t="str">
            <v>亞勝</v>
          </cell>
          <cell r="D19" t="str">
            <v>Evan.Liu@asurion.com</v>
          </cell>
          <cell r="E19" t="str">
            <v>亞勝</v>
          </cell>
          <cell r="I19" t="str">
            <v>FA6K896627</v>
          </cell>
        </row>
        <row r="20">
          <cell r="B20" t="str">
            <v>王惠香</v>
          </cell>
          <cell r="C20" t="str">
            <v>亞勝</v>
          </cell>
          <cell r="D20" t="str">
            <v>amber.wang@asurion.com</v>
          </cell>
          <cell r="E20" t="str">
            <v>亞勝</v>
          </cell>
          <cell r="I20" t="str">
            <v>F32F753270</v>
          </cell>
        </row>
        <row r="21">
          <cell r="B21" t="str">
            <v>馮冠瑋</v>
          </cell>
          <cell r="C21" t="str">
            <v>亞勝</v>
          </cell>
          <cell r="D21" t="str">
            <v>Ray.feng@asurion.com</v>
          </cell>
          <cell r="E21" t="str">
            <v>亞勝</v>
          </cell>
          <cell r="I21" t="str">
            <v>PA6F812229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D324-F3B9-4D8C-850C-0B7B9554FA8E}">
  <dimension ref="A1:I12"/>
  <sheetViews>
    <sheetView tabSelected="1" workbookViewId="0"/>
  </sheetViews>
  <sheetFormatPr defaultRowHeight="15.5"/>
  <cols>
    <col min="1" max="1" width="8.7265625" style="2"/>
    <col min="2" max="2" width="27.90625" style="2" bestFit="1" customWidth="1"/>
    <col min="3" max="3" width="13.453125" style="2" bestFit="1" customWidth="1"/>
    <col min="4" max="5" width="12.6328125" style="2" bestFit="1" customWidth="1"/>
    <col min="6" max="6" width="20.7265625" style="2" bestFit="1" customWidth="1"/>
    <col min="7" max="7" width="20.7265625" style="2" customWidth="1"/>
    <col min="8" max="8" width="20.7265625" style="2" bestFit="1" customWidth="1"/>
    <col min="9" max="9" width="20.7265625" style="2" customWidth="1"/>
    <col min="10" max="16384" width="8.7265625" style="2"/>
  </cols>
  <sheetData>
    <row r="1" spans="1:9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135</v>
      </c>
      <c r="H1" s="1" t="s">
        <v>128</v>
      </c>
      <c r="I1" s="1" t="s">
        <v>129</v>
      </c>
    </row>
    <row r="2" spans="1:9">
      <c r="A2" s="2" t="s">
        <v>98</v>
      </c>
      <c r="B2" s="10" t="s">
        <v>10</v>
      </c>
      <c r="C2" s="2" t="str">
        <f>VLOOKUP(A2,[1]亞勝未完訓清單!$B:$I,8,0)</f>
        <v>HA3G702043</v>
      </c>
      <c r="D2" s="3">
        <v>45925</v>
      </c>
      <c r="E2" s="3">
        <v>46289.999988425901</v>
      </c>
      <c r="F2" s="2" t="s">
        <v>131</v>
      </c>
      <c r="G2" s="2">
        <v>0</v>
      </c>
      <c r="H2" s="2" t="s">
        <v>131</v>
      </c>
      <c r="I2" s="2">
        <v>0</v>
      </c>
    </row>
    <row r="3" spans="1:9">
      <c r="A3" s="2" t="s">
        <v>118</v>
      </c>
      <c r="B3" s="10" t="s">
        <v>24</v>
      </c>
      <c r="C3" s="2" t="str">
        <f>VLOOKUP(A3,[1]亞勝未完訓清單!$B:$I,8,0)</f>
        <v>HA6F899214</v>
      </c>
      <c r="D3" s="3">
        <v>45933</v>
      </c>
      <c r="E3" s="3">
        <v>46297.999988425901</v>
      </c>
      <c r="F3" s="2" t="s">
        <v>131</v>
      </c>
      <c r="G3" s="2">
        <v>0</v>
      </c>
      <c r="H3" s="2" t="s">
        <v>131</v>
      </c>
      <c r="I3" s="2">
        <v>0</v>
      </c>
    </row>
    <row r="4" spans="1:9">
      <c r="A4" s="2" t="s">
        <v>138</v>
      </c>
      <c r="B4" s="10" t="s">
        <v>133</v>
      </c>
      <c r="C4" s="2" t="str">
        <f>VLOOKUP(A4,[1]亞勝未完訓清單!$B:$I,8,0)</f>
        <v>FA6J815734</v>
      </c>
      <c r="D4" s="3">
        <v>45950</v>
      </c>
      <c r="E4" s="3">
        <v>46314.999988425901</v>
      </c>
      <c r="F4" s="2" t="s">
        <v>130</v>
      </c>
      <c r="G4" s="2">
        <v>3</v>
      </c>
      <c r="H4" s="2" t="s">
        <v>131</v>
      </c>
      <c r="I4" s="2">
        <v>0</v>
      </c>
    </row>
    <row r="5" spans="1:9">
      <c r="A5" s="2" t="s">
        <v>139</v>
      </c>
      <c r="B5" s="10" t="s">
        <v>132</v>
      </c>
      <c r="C5" s="2" t="str">
        <f>VLOOKUP(A5,[1]亞勝未完訓清單!$B:$I,8,0)</f>
        <v>PA6002418F</v>
      </c>
      <c r="D5" s="3">
        <v>45950</v>
      </c>
      <c r="E5" s="3">
        <v>46314.999988425901</v>
      </c>
      <c r="F5" s="9" t="s">
        <v>130</v>
      </c>
      <c r="G5" s="2">
        <v>3</v>
      </c>
      <c r="H5" s="2" t="s">
        <v>131</v>
      </c>
      <c r="I5" s="2">
        <v>0</v>
      </c>
    </row>
    <row r="6" spans="1:9">
      <c r="A6" s="2" t="s">
        <v>109</v>
      </c>
      <c r="B6" s="10" t="s">
        <v>16</v>
      </c>
      <c r="C6" s="2" t="str">
        <f>VLOOKUP(A6,[1]亞勝未完訓清單!$B:$I,8,0)</f>
        <v>FA6K896627</v>
      </c>
      <c r="D6" s="3">
        <v>45964</v>
      </c>
      <c r="E6" s="3">
        <v>46328.999988425901</v>
      </c>
      <c r="F6" s="2" t="s">
        <v>131</v>
      </c>
      <c r="G6" s="2">
        <v>0</v>
      </c>
      <c r="H6" s="2" t="s">
        <v>131</v>
      </c>
      <c r="I6" s="2">
        <v>0</v>
      </c>
    </row>
    <row r="7" spans="1:9">
      <c r="A7" s="2" t="s">
        <v>100</v>
      </c>
      <c r="B7" s="10" t="s">
        <v>47</v>
      </c>
      <c r="C7" s="2" t="str">
        <f>VLOOKUP(A7,[1]亞勝未完訓清單!$B:$I,8,0)</f>
        <v>FA6I716049</v>
      </c>
      <c r="D7" s="3">
        <v>46030</v>
      </c>
      <c r="E7" s="3">
        <v>46394.999988425901</v>
      </c>
      <c r="F7" s="9" t="s">
        <v>131</v>
      </c>
      <c r="G7" s="2">
        <v>0</v>
      </c>
      <c r="H7" s="2" t="s">
        <v>130</v>
      </c>
      <c r="I7" s="2">
        <v>8</v>
      </c>
    </row>
    <row r="8" spans="1:9">
      <c r="A8" s="2" t="s">
        <v>92</v>
      </c>
      <c r="B8" s="10" t="s">
        <v>41</v>
      </c>
      <c r="C8" s="2" t="str">
        <f>VLOOKUP(A8,[1]亞勝未完訓清單!$B:$I,8,0)</f>
        <v>QA6F819762</v>
      </c>
      <c r="D8" s="3">
        <v>46041</v>
      </c>
      <c r="E8" s="3">
        <v>46405.999988425901</v>
      </c>
      <c r="F8" s="2" t="s">
        <v>131</v>
      </c>
      <c r="G8" s="2">
        <v>0</v>
      </c>
      <c r="H8" s="2" t="s">
        <v>131</v>
      </c>
      <c r="I8" s="2">
        <v>0</v>
      </c>
    </row>
    <row r="9" spans="1:9">
      <c r="A9" s="2" t="s">
        <v>94</v>
      </c>
      <c r="B9" s="10" t="s">
        <v>8</v>
      </c>
      <c r="C9" s="2" t="str">
        <f>VLOOKUP(A9,[1]亞勝未完訓清單!$B:$I,8,0)</f>
        <v>PA6F812229</v>
      </c>
      <c r="D9" s="3">
        <v>46041</v>
      </c>
      <c r="E9" s="3">
        <v>46405.999988425901</v>
      </c>
      <c r="F9" s="9" t="s">
        <v>131</v>
      </c>
      <c r="G9" s="2">
        <v>0</v>
      </c>
      <c r="H9" s="2" t="s">
        <v>130</v>
      </c>
      <c r="I9" s="2">
        <v>11</v>
      </c>
    </row>
    <row r="10" spans="1:9">
      <c r="A10" s="2" t="s">
        <v>116</v>
      </c>
      <c r="B10" s="10" t="s">
        <v>22</v>
      </c>
      <c r="C10" s="2" t="str">
        <f>VLOOKUP(A10,[1]亞勝未完訓清單!$B:$I,8,0)</f>
        <v>F32F753270</v>
      </c>
      <c r="D10" s="3">
        <v>46170</v>
      </c>
      <c r="E10" s="3">
        <v>46534.999988425901</v>
      </c>
      <c r="F10" s="9" t="s">
        <v>130</v>
      </c>
      <c r="G10" s="2">
        <v>4</v>
      </c>
      <c r="H10" s="2" t="s">
        <v>130</v>
      </c>
      <c r="I10" s="2">
        <v>12</v>
      </c>
    </row>
    <row r="11" spans="1:9">
      <c r="A11" s="2" t="s">
        <v>87</v>
      </c>
      <c r="B11" s="10" t="s">
        <v>33</v>
      </c>
      <c r="C11" s="2" t="str">
        <f>VLOOKUP(A11,[1]亞勝未完訓清單!$B:$I,8,0)</f>
        <v>FA6E150188</v>
      </c>
      <c r="D11" s="3">
        <v>46174</v>
      </c>
      <c r="E11" s="3">
        <v>46538.999988425901</v>
      </c>
      <c r="F11" s="2" t="s">
        <v>130</v>
      </c>
      <c r="G11" s="2">
        <v>4</v>
      </c>
      <c r="H11" s="2" t="s">
        <v>130</v>
      </c>
      <c r="I11" s="2">
        <v>12</v>
      </c>
    </row>
    <row r="12" spans="1:9">
      <c r="A12" s="2" t="s">
        <v>140</v>
      </c>
      <c r="B12" s="10" t="s">
        <v>134</v>
      </c>
      <c r="C12" s="2" t="str">
        <f>VLOOKUP(A12,[1]亞勝未完訓清單!$B:$I,8,0)</f>
        <v>FA6D878665</v>
      </c>
      <c r="D12" s="3">
        <v>46175</v>
      </c>
      <c r="E12" s="3">
        <v>46539.999988425901</v>
      </c>
      <c r="F12" s="9" t="s">
        <v>130</v>
      </c>
      <c r="G12" s="2">
        <v>4</v>
      </c>
      <c r="H12" s="2" t="s">
        <v>130</v>
      </c>
      <c r="I12" s="2">
        <v>12</v>
      </c>
    </row>
  </sheetData>
  <autoFilter ref="A1:I1" xr:uid="{B276D324-F3B9-4D8C-850C-0B7B9554FA8E}">
    <sortState xmlns:xlrd2="http://schemas.microsoft.com/office/spreadsheetml/2017/richdata2" ref="A2:I12">
      <sortCondition ref="E1"/>
    </sortState>
  </autoFilter>
  <phoneticPr fontId="4" type="noConversion"/>
  <conditionalFormatting sqref="A2:A12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18C8-A596-4C2A-B799-CE4C739A7CD7}">
  <dimension ref="A1:H12"/>
  <sheetViews>
    <sheetView workbookViewId="0">
      <selection activeCell="D13" sqref="D13"/>
    </sheetView>
  </sheetViews>
  <sheetFormatPr defaultRowHeight="15.5"/>
  <cols>
    <col min="1" max="1" width="8.7265625" style="2"/>
    <col min="2" max="2" width="27.90625" style="2" bestFit="1" customWidth="1"/>
    <col min="3" max="3" width="13.453125" style="2" bestFit="1" customWidth="1"/>
    <col min="4" max="5" width="12.6328125" style="2" bestFit="1" customWidth="1"/>
    <col min="6" max="6" width="18.26953125" style="2" bestFit="1" customWidth="1"/>
    <col min="7" max="7" width="20.7265625" style="2" bestFit="1" customWidth="1"/>
    <col min="8" max="8" width="20.1796875" style="2" bestFit="1" customWidth="1"/>
    <col min="9" max="16384" width="8.7265625" style="2"/>
  </cols>
  <sheetData>
    <row r="1" spans="1:8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127</v>
      </c>
      <c r="G1" s="1" t="s">
        <v>126</v>
      </c>
      <c r="H1" s="8" t="s">
        <v>136</v>
      </c>
    </row>
    <row r="2" spans="1:8">
      <c r="A2" s="2" t="s">
        <v>98</v>
      </c>
      <c r="B2" s="10" t="s">
        <v>10</v>
      </c>
      <c r="C2" s="2" t="str">
        <f>VLOOKUP(A2,[1]亞勝未完訓清單!$B:$I,8,0)</f>
        <v>HA3G702043</v>
      </c>
      <c r="D2" s="3">
        <v>46023</v>
      </c>
      <c r="E2" s="3">
        <v>46387</v>
      </c>
      <c r="F2" s="2" t="s">
        <v>86</v>
      </c>
      <c r="G2" s="7" t="s">
        <v>137</v>
      </c>
      <c r="H2" s="7" t="s">
        <v>137</v>
      </c>
    </row>
    <row r="3" spans="1:8">
      <c r="A3" s="2" t="s">
        <v>118</v>
      </c>
      <c r="B3" s="10" t="s">
        <v>24</v>
      </c>
      <c r="C3" s="2" t="str">
        <f>VLOOKUP(A3,[1]亞勝未完訓清單!$B:$I,8,0)</f>
        <v>HA6F899214</v>
      </c>
      <c r="D3" s="3">
        <v>46023</v>
      </c>
      <c r="E3" s="3">
        <v>46387</v>
      </c>
      <c r="F3" s="2" t="s">
        <v>79</v>
      </c>
      <c r="G3" s="7" t="s">
        <v>137</v>
      </c>
      <c r="H3" s="7" t="s">
        <v>137</v>
      </c>
    </row>
    <row r="4" spans="1:8">
      <c r="A4" s="2" t="s">
        <v>138</v>
      </c>
      <c r="B4" s="10" t="s">
        <v>133</v>
      </c>
      <c r="C4" s="2" t="str">
        <f>VLOOKUP(A4,[1]亞勝未完訓清單!$B:$I,8,0)</f>
        <v>FA6J815734</v>
      </c>
      <c r="D4" s="3">
        <v>46023</v>
      </c>
      <c r="E4" s="3">
        <v>46387</v>
      </c>
      <c r="F4" s="2" t="s">
        <v>79</v>
      </c>
      <c r="G4" s="7" t="s">
        <v>137</v>
      </c>
      <c r="H4" s="7" t="s">
        <v>137</v>
      </c>
    </row>
    <row r="5" spans="1:8">
      <c r="A5" s="2" t="s">
        <v>139</v>
      </c>
      <c r="B5" s="10" t="s">
        <v>132</v>
      </c>
      <c r="C5" s="2" t="str">
        <f>VLOOKUP(A5,[1]亞勝未完訓清單!$B:$I,8,0)</f>
        <v>PA6002418F</v>
      </c>
      <c r="D5" s="3">
        <v>46023</v>
      </c>
      <c r="E5" s="3">
        <v>46387</v>
      </c>
      <c r="F5" s="2" t="s">
        <v>79</v>
      </c>
      <c r="G5" s="7" t="s">
        <v>137</v>
      </c>
      <c r="H5" s="7" t="s">
        <v>137</v>
      </c>
    </row>
    <row r="6" spans="1:8">
      <c r="A6" s="2" t="s">
        <v>109</v>
      </c>
      <c r="B6" s="10" t="s">
        <v>16</v>
      </c>
      <c r="C6" s="2" t="str">
        <f>VLOOKUP(A6,[1]亞勝未完訓清單!$B:$I,8,0)</f>
        <v>FA6K896627</v>
      </c>
      <c r="D6" s="3">
        <v>46023</v>
      </c>
      <c r="E6" s="3">
        <v>46387</v>
      </c>
      <c r="F6" s="2" t="s">
        <v>79</v>
      </c>
      <c r="G6" s="7" t="s">
        <v>137</v>
      </c>
      <c r="H6" s="7" t="s">
        <v>137</v>
      </c>
    </row>
    <row r="7" spans="1:8">
      <c r="A7" s="2" t="s">
        <v>100</v>
      </c>
      <c r="B7" s="10" t="s">
        <v>47</v>
      </c>
      <c r="C7" s="2" t="str">
        <f>VLOOKUP(A7,[1]亞勝未完訓清單!$B:$I,8,0)</f>
        <v>FA6I716049</v>
      </c>
      <c r="D7" s="3">
        <v>46023</v>
      </c>
      <c r="E7" s="3">
        <v>46387</v>
      </c>
      <c r="F7" s="2" t="s">
        <v>79</v>
      </c>
      <c r="G7" s="7" t="s">
        <v>137</v>
      </c>
      <c r="H7" s="7" t="s">
        <v>137</v>
      </c>
    </row>
    <row r="8" spans="1:8">
      <c r="A8" s="2" t="s">
        <v>92</v>
      </c>
      <c r="B8" s="10" t="s">
        <v>41</v>
      </c>
      <c r="C8" s="2" t="str">
        <f>VLOOKUP(A8,[1]亞勝未完訓清單!$B:$I,8,0)</f>
        <v>QA6F819762</v>
      </c>
      <c r="D8" s="3">
        <v>46023</v>
      </c>
      <c r="E8" s="3">
        <v>46387</v>
      </c>
      <c r="F8" s="2" t="s">
        <v>86</v>
      </c>
      <c r="G8" s="7" t="s">
        <v>137</v>
      </c>
      <c r="H8" s="7" t="s">
        <v>137</v>
      </c>
    </row>
    <row r="9" spans="1:8">
      <c r="A9" s="2" t="s">
        <v>94</v>
      </c>
      <c r="B9" s="10" t="s">
        <v>8</v>
      </c>
      <c r="C9" s="2" t="str">
        <f>VLOOKUP(A9,[1]亞勝未完訓清單!$B:$I,8,0)</f>
        <v>PA6F812229</v>
      </c>
      <c r="D9" s="3">
        <v>46023</v>
      </c>
      <c r="E9" s="3">
        <v>46387</v>
      </c>
      <c r="F9" s="2" t="s">
        <v>86</v>
      </c>
      <c r="G9" s="7" t="s">
        <v>137</v>
      </c>
      <c r="H9" s="7" t="s">
        <v>137</v>
      </c>
    </row>
    <row r="10" spans="1:8">
      <c r="A10" s="2" t="s">
        <v>116</v>
      </c>
      <c r="B10" s="10" t="s">
        <v>22</v>
      </c>
      <c r="C10" s="2" t="str">
        <f>VLOOKUP(A10,[1]亞勝未完訓清單!$B:$I,8,0)</f>
        <v>F32F753270</v>
      </c>
      <c r="D10" s="3">
        <v>46023</v>
      </c>
      <c r="E10" s="3">
        <v>46387</v>
      </c>
      <c r="F10" s="2" t="s">
        <v>86</v>
      </c>
      <c r="G10" s="7" t="s">
        <v>137</v>
      </c>
      <c r="H10" s="7" t="s">
        <v>137</v>
      </c>
    </row>
    <row r="11" spans="1:8">
      <c r="A11" s="2" t="s">
        <v>87</v>
      </c>
      <c r="B11" s="10" t="s">
        <v>33</v>
      </c>
      <c r="C11" s="2" t="str">
        <f>VLOOKUP(A11,[1]亞勝未完訓清單!$B:$I,8,0)</f>
        <v>FA6E150188</v>
      </c>
      <c r="D11" s="3">
        <v>46023</v>
      </c>
      <c r="E11" s="3">
        <v>46387</v>
      </c>
      <c r="F11" s="2" t="s">
        <v>86</v>
      </c>
      <c r="G11" s="7" t="s">
        <v>137</v>
      </c>
      <c r="H11" s="7" t="s">
        <v>137</v>
      </c>
    </row>
    <row r="12" spans="1:8">
      <c r="A12" s="2" t="s">
        <v>140</v>
      </c>
      <c r="B12" s="10" t="s">
        <v>134</v>
      </c>
      <c r="C12" s="2" t="str">
        <f>VLOOKUP(A12,[1]亞勝未完訓清單!$B:$I,8,0)</f>
        <v>FA6D878665</v>
      </c>
      <c r="D12" s="3">
        <v>46023</v>
      </c>
      <c r="E12" s="3">
        <v>46387</v>
      </c>
      <c r="F12" s="2" t="s">
        <v>79</v>
      </c>
      <c r="G12" s="7" t="s">
        <v>137</v>
      </c>
      <c r="H12" s="7" t="s">
        <v>137</v>
      </c>
    </row>
  </sheetData>
  <autoFilter ref="A1:H10" xr:uid="{D8E018C8-A596-4C2A-B799-CE4C739A7CD7}"/>
  <phoneticPr fontId="4" type="noConversion"/>
  <conditionalFormatting sqref="A2:A12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A3963-C507-483B-808E-70110241736F}">
  <sheetPr filterMode="1"/>
  <dimension ref="A1:Q29"/>
  <sheetViews>
    <sheetView workbookViewId="0">
      <selection activeCell="O1" sqref="O1:Q1"/>
    </sheetView>
  </sheetViews>
  <sheetFormatPr defaultRowHeight="17"/>
  <cols>
    <col min="3" max="3" width="13.453125" bestFit="1" customWidth="1"/>
    <col min="4" max="4" width="13.453125" customWidth="1"/>
    <col min="10" max="11" width="12.6328125" bestFit="1" customWidth="1"/>
  </cols>
  <sheetData>
    <row r="1" spans="1:17">
      <c r="A1" s="4" t="s">
        <v>61</v>
      </c>
      <c r="B1" s="4" t="s">
        <v>120</v>
      </c>
      <c r="C1" s="4" t="s">
        <v>62</v>
      </c>
      <c r="D1" s="4" t="s">
        <v>124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5" t="s">
        <v>68</v>
      </c>
      <c r="K1" s="5" t="s">
        <v>69</v>
      </c>
      <c r="L1" s="4" t="s">
        <v>70</v>
      </c>
      <c r="M1" s="4" t="s">
        <v>71</v>
      </c>
      <c r="N1" s="4" t="s">
        <v>72</v>
      </c>
      <c r="O1" s="4" t="s">
        <v>73</v>
      </c>
      <c r="P1" s="4" t="s">
        <v>74</v>
      </c>
      <c r="Q1" s="4" t="s">
        <v>75</v>
      </c>
    </row>
    <row r="2" spans="1:17">
      <c r="A2" s="4" t="s">
        <v>76</v>
      </c>
      <c r="B2" s="4" t="s">
        <v>121</v>
      </c>
      <c r="C2" s="4" t="s">
        <v>7</v>
      </c>
      <c r="D2" s="4" t="s">
        <v>6</v>
      </c>
      <c r="E2" s="4"/>
      <c r="F2" s="4"/>
      <c r="G2" s="4" t="s">
        <v>77</v>
      </c>
      <c r="H2" s="4" t="s">
        <v>78</v>
      </c>
      <c r="I2" s="4">
        <v>2</v>
      </c>
      <c r="J2" s="5">
        <v>45693</v>
      </c>
      <c r="K2" s="5">
        <v>46057</v>
      </c>
      <c r="L2" s="4" t="s">
        <v>79</v>
      </c>
      <c r="M2" s="4" t="s">
        <v>79</v>
      </c>
      <c r="N2" s="4">
        <v>9</v>
      </c>
      <c r="O2" s="4" t="s">
        <v>79</v>
      </c>
      <c r="P2" s="4" t="s">
        <v>79</v>
      </c>
      <c r="Q2" s="4" t="s">
        <v>79</v>
      </c>
    </row>
    <row r="3" spans="1:17" hidden="1">
      <c r="A3" s="4" t="s">
        <v>80</v>
      </c>
      <c r="B3" s="4" t="s">
        <v>122</v>
      </c>
      <c r="C3" s="4" t="s">
        <v>29</v>
      </c>
      <c r="D3" s="4" t="s">
        <v>28</v>
      </c>
      <c r="E3" s="4"/>
      <c r="F3" s="4"/>
      <c r="G3" s="4" t="s">
        <v>77</v>
      </c>
      <c r="H3" s="4" t="s">
        <v>78</v>
      </c>
      <c r="I3" s="4">
        <v>2</v>
      </c>
      <c r="J3" s="5">
        <v>45693</v>
      </c>
      <c r="K3" s="5">
        <v>46057</v>
      </c>
      <c r="L3" s="4" t="s">
        <v>79</v>
      </c>
      <c r="M3" s="4" t="s">
        <v>79</v>
      </c>
      <c r="N3" s="4">
        <v>10</v>
      </c>
      <c r="O3" s="4" t="s">
        <v>79</v>
      </c>
      <c r="P3" s="4" t="s">
        <v>79</v>
      </c>
      <c r="Q3" s="4" t="s">
        <v>79</v>
      </c>
    </row>
    <row r="4" spans="1:17" hidden="1">
      <c r="A4" s="4" t="s">
        <v>81</v>
      </c>
      <c r="B4" s="4" t="s">
        <v>122</v>
      </c>
      <c r="C4" s="4" t="s">
        <v>30</v>
      </c>
      <c r="D4" s="4" t="s">
        <v>125</v>
      </c>
      <c r="E4" s="4"/>
      <c r="F4" s="4"/>
      <c r="G4" s="4" t="s">
        <v>77</v>
      </c>
      <c r="H4" s="4" t="s">
        <v>82</v>
      </c>
      <c r="I4" s="4">
        <v>2</v>
      </c>
      <c r="J4" s="5">
        <v>45373</v>
      </c>
      <c r="K4" s="5">
        <v>45737</v>
      </c>
      <c r="L4" s="4" t="s">
        <v>79</v>
      </c>
      <c r="M4" s="4" t="s">
        <v>83</v>
      </c>
      <c r="N4" s="4">
        <v>20</v>
      </c>
      <c r="O4" s="4" t="s">
        <v>79</v>
      </c>
      <c r="P4" s="4" t="s">
        <v>79</v>
      </c>
      <c r="Q4" s="4" t="s">
        <v>79</v>
      </c>
    </row>
    <row r="5" spans="1:17" hidden="1">
      <c r="A5" s="4" t="s">
        <v>84</v>
      </c>
      <c r="B5" s="4" t="s">
        <v>122</v>
      </c>
      <c r="C5" s="4" t="s">
        <v>32</v>
      </c>
      <c r="D5" s="4" t="s">
        <v>31</v>
      </c>
      <c r="E5" s="4"/>
      <c r="F5" s="4"/>
      <c r="G5" s="4" t="s">
        <v>77</v>
      </c>
      <c r="H5" s="4" t="s">
        <v>85</v>
      </c>
      <c r="I5" s="4">
        <v>5</v>
      </c>
      <c r="J5" s="5">
        <v>45766</v>
      </c>
      <c r="K5" s="5">
        <v>46130</v>
      </c>
      <c r="L5" s="4" t="s">
        <v>79</v>
      </c>
      <c r="M5" s="4" t="s">
        <v>79</v>
      </c>
      <c r="N5" s="4">
        <v>5</v>
      </c>
      <c r="O5" s="4" t="s">
        <v>79</v>
      </c>
      <c r="P5" s="4" t="s">
        <v>86</v>
      </c>
      <c r="Q5" s="4" t="s">
        <v>79</v>
      </c>
    </row>
    <row r="6" spans="1:17">
      <c r="A6" s="4" t="s">
        <v>87</v>
      </c>
      <c r="B6" s="4" t="s">
        <v>121</v>
      </c>
      <c r="C6" s="4" t="s">
        <v>34</v>
      </c>
      <c r="D6" s="4" t="s">
        <v>33</v>
      </c>
      <c r="E6" s="4"/>
      <c r="F6" s="4"/>
      <c r="G6" s="4" t="s">
        <v>77</v>
      </c>
      <c r="H6" s="4" t="s">
        <v>88</v>
      </c>
      <c r="I6" s="4">
        <v>4</v>
      </c>
      <c r="J6" s="5">
        <v>45444</v>
      </c>
      <c r="K6" s="5">
        <v>45808</v>
      </c>
      <c r="L6" s="4" t="s">
        <v>86</v>
      </c>
      <c r="M6" s="4" t="s">
        <v>86</v>
      </c>
      <c r="N6" s="4">
        <v>0</v>
      </c>
      <c r="O6" s="4" t="s">
        <v>79</v>
      </c>
      <c r="P6" s="4" t="s">
        <v>79</v>
      </c>
      <c r="Q6" s="4" t="s">
        <v>79</v>
      </c>
    </row>
    <row r="7" spans="1:17" hidden="1">
      <c r="A7" s="4" t="s">
        <v>89</v>
      </c>
      <c r="B7" s="4" t="s">
        <v>122</v>
      </c>
      <c r="C7" s="4" t="s">
        <v>36</v>
      </c>
      <c r="D7" s="4" t="s">
        <v>35</v>
      </c>
      <c r="E7" s="4"/>
      <c r="F7" s="4"/>
      <c r="G7" s="4" t="s">
        <v>77</v>
      </c>
      <c r="H7" s="4" t="s">
        <v>88</v>
      </c>
      <c r="I7" s="4">
        <v>5</v>
      </c>
      <c r="J7" s="5">
        <v>45787</v>
      </c>
      <c r="K7" s="5">
        <v>46151</v>
      </c>
      <c r="L7" s="4" t="s">
        <v>79</v>
      </c>
      <c r="M7" s="4" t="s">
        <v>79</v>
      </c>
      <c r="N7" s="4">
        <v>12</v>
      </c>
      <c r="O7" s="4" t="s">
        <v>79</v>
      </c>
      <c r="P7" s="4" t="s">
        <v>79</v>
      </c>
      <c r="Q7" s="4" t="s">
        <v>79</v>
      </c>
    </row>
    <row r="8" spans="1:17" hidden="1">
      <c r="A8" s="4" t="s">
        <v>90</v>
      </c>
      <c r="B8" s="4" t="s">
        <v>122</v>
      </c>
      <c r="C8" s="4" t="s">
        <v>38</v>
      </c>
      <c r="D8" s="4" t="s">
        <v>37</v>
      </c>
      <c r="E8" s="4"/>
      <c r="F8" s="4"/>
      <c r="G8" s="4" t="s">
        <v>77</v>
      </c>
      <c r="H8" s="4" t="s">
        <v>85</v>
      </c>
      <c r="I8" s="4">
        <v>5</v>
      </c>
      <c r="J8" s="5">
        <v>45766</v>
      </c>
      <c r="K8" s="5">
        <v>46130</v>
      </c>
      <c r="L8" s="4" t="s">
        <v>79</v>
      </c>
      <c r="M8" s="4" t="s">
        <v>86</v>
      </c>
      <c r="N8" s="4">
        <v>0</v>
      </c>
      <c r="O8" s="4" t="s">
        <v>79</v>
      </c>
      <c r="P8" s="4" t="s">
        <v>79</v>
      </c>
      <c r="Q8" s="4" t="s">
        <v>79</v>
      </c>
    </row>
    <row r="9" spans="1:17">
      <c r="A9" s="4" t="s">
        <v>91</v>
      </c>
      <c r="B9" s="4" t="s">
        <v>121</v>
      </c>
      <c r="C9" s="4" t="s">
        <v>40</v>
      </c>
      <c r="D9" s="4" t="s">
        <v>39</v>
      </c>
      <c r="E9" s="4"/>
      <c r="F9" s="4"/>
      <c r="G9" s="4" t="s">
        <v>77</v>
      </c>
      <c r="H9" s="4" t="s">
        <v>88</v>
      </c>
      <c r="I9" s="4">
        <v>4</v>
      </c>
      <c r="J9" s="5">
        <v>45444</v>
      </c>
      <c r="K9" s="5">
        <v>45808</v>
      </c>
      <c r="L9" s="4" t="s">
        <v>86</v>
      </c>
      <c r="M9" s="4" t="s">
        <v>86</v>
      </c>
      <c r="N9" s="4">
        <v>0</v>
      </c>
      <c r="O9" s="4" t="s">
        <v>79</v>
      </c>
      <c r="P9" s="4" t="s">
        <v>79</v>
      </c>
      <c r="Q9" s="4" t="s">
        <v>79</v>
      </c>
    </row>
    <row r="10" spans="1:17">
      <c r="A10" s="4" t="s">
        <v>92</v>
      </c>
      <c r="B10" s="4" t="s">
        <v>121</v>
      </c>
      <c r="C10" s="4" t="s">
        <v>42</v>
      </c>
      <c r="D10" s="4" t="s">
        <v>41</v>
      </c>
      <c r="E10" s="4"/>
      <c r="F10" s="4"/>
      <c r="G10" s="4" t="s">
        <v>77</v>
      </c>
      <c r="H10" s="4" t="s">
        <v>93</v>
      </c>
      <c r="I10" s="4">
        <v>5</v>
      </c>
      <c r="J10" s="5">
        <v>45676</v>
      </c>
      <c r="K10" s="5">
        <v>46040</v>
      </c>
      <c r="L10" s="4" t="s">
        <v>79</v>
      </c>
      <c r="M10" s="4" t="s">
        <v>86</v>
      </c>
      <c r="N10" s="4">
        <v>0</v>
      </c>
      <c r="O10" s="4" t="s">
        <v>79</v>
      </c>
      <c r="P10" s="4" t="s">
        <v>79</v>
      </c>
      <c r="Q10" s="4" t="s">
        <v>79</v>
      </c>
    </row>
    <row r="11" spans="1:17">
      <c r="A11" s="4" t="s">
        <v>94</v>
      </c>
      <c r="B11" s="4" t="s">
        <v>121</v>
      </c>
      <c r="C11" s="4" t="s">
        <v>9</v>
      </c>
      <c r="D11" s="4" t="s">
        <v>8</v>
      </c>
      <c r="E11" s="4"/>
      <c r="F11" s="4"/>
      <c r="G11" s="4" t="s">
        <v>77</v>
      </c>
      <c r="H11" s="4" t="s">
        <v>93</v>
      </c>
      <c r="I11" s="4">
        <v>5</v>
      </c>
      <c r="J11" s="5">
        <v>45676</v>
      </c>
      <c r="K11" s="5">
        <v>46040</v>
      </c>
      <c r="L11" s="4" t="s">
        <v>79</v>
      </c>
      <c r="M11" s="4" t="s">
        <v>79</v>
      </c>
      <c r="N11" s="4">
        <v>8</v>
      </c>
      <c r="O11" s="4" t="s">
        <v>79</v>
      </c>
      <c r="P11" s="4" t="s">
        <v>79</v>
      </c>
      <c r="Q11" s="4" t="s">
        <v>79</v>
      </c>
    </row>
    <row r="12" spans="1:17" hidden="1">
      <c r="A12" s="4" t="s">
        <v>95</v>
      </c>
      <c r="B12" s="4" t="s">
        <v>122</v>
      </c>
      <c r="C12" s="4" t="s">
        <v>44</v>
      </c>
      <c r="D12" s="4" t="s">
        <v>43</v>
      </c>
      <c r="E12" s="4"/>
      <c r="F12" s="4"/>
      <c r="G12" s="4" t="s">
        <v>77</v>
      </c>
      <c r="H12" s="4" t="s">
        <v>85</v>
      </c>
      <c r="I12" s="4">
        <v>5</v>
      </c>
      <c r="J12" s="5">
        <v>45766</v>
      </c>
      <c r="K12" s="5">
        <v>46130</v>
      </c>
      <c r="L12" s="4" t="s">
        <v>79</v>
      </c>
      <c r="M12" s="4" t="s">
        <v>79</v>
      </c>
      <c r="N12" s="4">
        <v>12</v>
      </c>
      <c r="O12" s="4" t="s">
        <v>79</v>
      </c>
      <c r="P12" s="4" t="s">
        <v>79</v>
      </c>
      <c r="Q12" s="4" t="s">
        <v>79</v>
      </c>
    </row>
    <row r="13" spans="1:17" hidden="1">
      <c r="A13" s="4" t="s">
        <v>96</v>
      </c>
      <c r="B13" s="4" t="s">
        <v>122</v>
      </c>
      <c r="C13" s="4" t="s">
        <v>46</v>
      </c>
      <c r="D13" s="4" t="s">
        <v>45</v>
      </c>
      <c r="E13" s="4"/>
      <c r="F13" s="4"/>
      <c r="G13" s="4" t="s">
        <v>77</v>
      </c>
      <c r="H13" s="4" t="s">
        <v>97</v>
      </c>
      <c r="I13" s="4">
        <v>4</v>
      </c>
      <c r="J13" s="5">
        <v>45650</v>
      </c>
      <c r="K13" s="5">
        <v>46014</v>
      </c>
      <c r="L13" s="4" t="s">
        <v>79</v>
      </c>
      <c r="M13" s="4" t="s">
        <v>79</v>
      </c>
      <c r="N13" s="4">
        <v>11</v>
      </c>
      <c r="O13" s="4" t="s">
        <v>79</v>
      </c>
      <c r="P13" s="4" t="s">
        <v>79</v>
      </c>
      <c r="Q13" s="4" t="s">
        <v>79</v>
      </c>
    </row>
    <row r="14" spans="1:17">
      <c r="A14" s="4" t="s">
        <v>98</v>
      </c>
      <c r="B14" s="4" t="s">
        <v>121</v>
      </c>
      <c r="C14" s="4" t="s">
        <v>11</v>
      </c>
      <c r="D14" s="4" t="s">
        <v>10</v>
      </c>
      <c r="E14" s="4"/>
      <c r="F14" s="4"/>
      <c r="G14" s="4" t="s">
        <v>77</v>
      </c>
      <c r="H14" s="4" t="s">
        <v>99</v>
      </c>
      <c r="I14" s="4">
        <v>3</v>
      </c>
      <c r="J14" s="5">
        <v>45560</v>
      </c>
      <c r="K14" s="5">
        <v>45924</v>
      </c>
      <c r="L14" s="4" t="s">
        <v>86</v>
      </c>
      <c r="M14" s="4" t="s">
        <v>86</v>
      </c>
      <c r="N14" s="4">
        <v>0</v>
      </c>
      <c r="O14" s="4" t="s">
        <v>79</v>
      </c>
      <c r="P14" s="6" t="s">
        <v>123</v>
      </c>
      <c r="Q14" s="4" t="s">
        <v>79</v>
      </c>
    </row>
    <row r="15" spans="1:17">
      <c r="A15" s="4" t="s">
        <v>100</v>
      </c>
      <c r="B15" s="4" t="s">
        <v>121</v>
      </c>
      <c r="C15" s="4" t="s">
        <v>48</v>
      </c>
      <c r="D15" s="4" t="s">
        <v>47</v>
      </c>
      <c r="E15" s="4"/>
      <c r="F15" s="4"/>
      <c r="G15" s="4" t="s">
        <v>77</v>
      </c>
      <c r="H15" s="4" t="s">
        <v>101</v>
      </c>
      <c r="I15" s="4">
        <v>3</v>
      </c>
      <c r="J15" s="5">
        <v>45665</v>
      </c>
      <c r="K15" s="5">
        <v>46029</v>
      </c>
      <c r="L15" s="4" t="s">
        <v>79</v>
      </c>
      <c r="M15" s="4" t="s">
        <v>79</v>
      </c>
      <c r="N15" s="4">
        <v>2</v>
      </c>
      <c r="O15" s="4" t="s">
        <v>79</v>
      </c>
      <c r="P15" s="4" t="s">
        <v>79</v>
      </c>
      <c r="Q15" s="4" t="s">
        <v>79</v>
      </c>
    </row>
    <row r="16" spans="1:17" hidden="1">
      <c r="A16" s="4" t="s">
        <v>102</v>
      </c>
      <c r="B16" s="4" t="s">
        <v>122</v>
      </c>
      <c r="C16" s="4" t="s">
        <v>50</v>
      </c>
      <c r="D16" s="4" t="s">
        <v>49</v>
      </c>
      <c r="E16" s="4"/>
      <c r="F16" s="4"/>
      <c r="G16" s="4" t="s">
        <v>77</v>
      </c>
      <c r="H16" s="4" t="s">
        <v>101</v>
      </c>
      <c r="I16" s="4">
        <v>3</v>
      </c>
      <c r="J16" s="5">
        <v>45665</v>
      </c>
      <c r="K16" s="5">
        <v>46029</v>
      </c>
      <c r="L16" s="4" t="s">
        <v>79</v>
      </c>
      <c r="M16" s="4" t="s">
        <v>79</v>
      </c>
      <c r="N16" s="4">
        <v>11</v>
      </c>
      <c r="O16" s="4" t="s">
        <v>79</v>
      </c>
      <c r="P16" s="4" t="s">
        <v>79</v>
      </c>
      <c r="Q16" s="4" t="s">
        <v>79</v>
      </c>
    </row>
    <row r="17" spans="1:17">
      <c r="A17" s="4" t="s">
        <v>103</v>
      </c>
      <c r="B17" s="4" t="s">
        <v>121</v>
      </c>
      <c r="C17" s="4" t="s">
        <v>27</v>
      </c>
      <c r="D17" s="4" t="s">
        <v>26</v>
      </c>
      <c r="E17" s="4"/>
      <c r="F17" s="4"/>
      <c r="G17" s="4" t="s">
        <v>77</v>
      </c>
      <c r="H17" s="4" t="s">
        <v>101</v>
      </c>
      <c r="I17" s="4">
        <v>3</v>
      </c>
      <c r="J17" s="5">
        <v>45632</v>
      </c>
      <c r="K17" s="5">
        <v>45996</v>
      </c>
      <c r="L17" s="4" t="s">
        <v>79</v>
      </c>
      <c r="M17" s="4" t="s">
        <v>79</v>
      </c>
      <c r="N17" s="4">
        <v>10</v>
      </c>
      <c r="O17" s="4" t="s">
        <v>79</v>
      </c>
      <c r="P17" s="4" t="s">
        <v>79</v>
      </c>
      <c r="Q17" s="4" t="s">
        <v>79</v>
      </c>
    </row>
    <row r="18" spans="1:17">
      <c r="A18" s="4" t="s">
        <v>104</v>
      </c>
      <c r="B18" s="4" t="s">
        <v>121</v>
      </c>
      <c r="C18" s="4" t="s">
        <v>52</v>
      </c>
      <c r="D18" s="4" t="s">
        <v>51</v>
      </c>
      <c r="E18" s="4"/>
      <c r="F18" s="4"/>
      <c r="G18" s="4" t="s">
        <v>77</v>
      </c>
      <c r="H18" s="4" t="s">
        <v>101</v>
      </c>
      <c r="I18" s="4">
        <v>3</v>
      </c>
      <c r="J18" s="5">
        <v>45665</v>
      </c>
      <c r="K18" s="5">
        <v>46029</v>
      </c>
      <c r="L18" s="4" t="s">
        <v>86</v>
      </c>
      <c r="M18" s="4" t="s">
        <v>86</v>
      </c>
      <c r="N18" s="4">
        <v>0</v>
      </c>
      <c r="O18" s="4" t="s">
        <v>86</v>
      </c>
      <c r="P18" s="4" t="s">
        <v>86</v>
      </c>
      <c r="Q18" s="4" t="s">
        <v>86</v>
      </c>
    </row>
    <row r="19" spans="1:17" hidden="1">
      <c r="A19" s="4" t="s">
        <v>105</v>
      </c>
      <c r="B19" s="4" t="s">
        <v>122</v>
      </c>
      <c r="C19" s="4" t="s">
        <v>54</v>
      </c>
      <c r="D19" s="4" t="s">
        <v>53</v>
      </c>
      <c r="E19" s="4"/>
      <c r="F19" s="4"/>
      <c r="G19" s="4" t="s">
        <v>77</v>
      </c>
      <c r="H19" s="4" t="s">
        <v>101</v>
      </c>
      <c r="I19" s="4">
        <v>3</v>
      </c>
      <c r="J19" s="5">
        <v>45665</v>
      </c>
      <c r="K19" s="5">
        <v>46029</v>
      </c>
      <c r="L19" s="4" t="s">
        <v>79</v>
      </c>
      <c r="M19" s="4" t="s">
        <v>79</v>
      </c>
      <c r="N19" s="4">
        <v>8</v>
      </c>
      <c r="O19" s="4" t="s">
        <v>79</v>
      </c>
      <c r="P19" s="4" t="s">
        <v>79</v>
      </c>
      <c r="Q19" s="4" t="s">
        <v>79</v>
      </c>
    </row>
    <row r="20" spans="1:17">
      <c r="A20" s="4" t="s">
        <v>106</v>
      </c>
      <c r="B20" s="4" t="s">
        <v>121</v>
      </c>
      <c r="C20" s="4" t="s">
        <v>13</v>
      </c>
      <c r="D20" s="4" t="s">
        <v>12</v>
      </c>
      <c r="E20" s="4"/>
      <c r="F20" s="4"/>
      <c r="G20" s="4" t="s">
        <v>77</v>
      </c>
      <c r="H20" s="4" t="s">
        <v>107</v>
      </c>
      <c r="I20" s="4">
        <v>2</v>
      </c>
      <c r="J20" s="5">
        <v>45522</v>
      </c>
      <c r="K20" s="5">
        <v>45886</v>
      </c>
      <c r="L20" s="4" t="s">
        <v>86</v>
      </c>
      <c r="M20" s="4" t="s">
        <v>86</v>
      </c>
      <c r="N20" s="4">
        <v>0</v>
      </c>
      <c r="O20" s="4" t="s">
        <v>79</v>
      </c>
      <c r="P20" s="4" t="s">
        <v>86</v>
      </c>
      <c r="Q20" s="4" t="s">
        <v>79</v>
      </c>
    </row>
    <row r="21" spans="1:17">
      <c r="A21" s="4" t="s">
        <v>108</v>
      </c>
      <c r="B21" s="4" t="s">
        <v>121</v>
      </c>
      <c r="C21" s="4" t="s">
        <v>15</v>
      </c>
      <c r="D21" s="4" t="s">
        <v>14</v>
      </c>
      <c r="E21" s="4"/>
      <c r="F21" s="4"/>
      <c r="G21" s="4" t="s">
        <v>77</v>
      </c>
      <c r="H21" s="4" t="s">
        <v>107</v>
      </c>
      <c r="I21" s="4">
        <v>2</v>
      </c>
      <c r="J21" s="5">
        <v>45520</v>
      </c>
      <c r="K21" s="5">
        <v>45884</v>
      </c>
      <c r="L21" s="4" t="s">
        <v>86</v>
      </c>
      <c r="M21" s="4" t="s">
        <v>79</v>
      </c>
      <c r="N21" s="4">
        <v>9</v>
      </c>
      <c r="O21" s="4" t="s">
        <v>79</v>
      </c>
      <c r="P21" s="4" t="s">
        <v>79</v>
      </c>
      <c r="Q21" s="4" t="s">
        <v>79</v>
      </c>
    </row>
    <row r="22" spans="1:17">
      <c r="A22" s="4" t="s">
        <v>109</v>
      </c>
      <c r="B22" s="4" t="s">
        <v>121</v>
      </c>
      <c r="C22" s="4" t="s">
        <v>17</v>
      </c>
      <c r="D22" s="4" t="s">
        <v>16</v>
      </c>
      <c r="E22" s="4"/>
      <c r="F22" s="4"/>
      <c r="G22" s="4" t="s">
        <v>77</v>
      </c>
      <c r="H22" s="4" t="s">
        <v>110</v>
      </c>
      <c r="I22" s="4">
        <v>2</v>
      </c>
      <c r="J22" s="5">
        <v>45599</v>
      </c>
      <c r="K22" s="5">
        <v>45963</v>
      </c>
      <c r="L22" s="4" t="s">
        <v>86</v>
      </c>
      <c r="M22" s="4" t="s">
        <v>79</v>
      </c>
      <c r="N22" s="4">
        <v>9</v>
      </c>
      <c r="O22" s="4" t="s">
        <v>79</v>
      </c>
      <c r="P22" s="4" t="s">
        <v>79</v>
      </c>
      <c r="Q22" s="4" t="s">
        <v>79</v>
      </c>
    </row>
    <row r="23" spans="1:17" hidden="1">
      <c r="A23" s="4" t="s">
        <v>111</v>
      </c>
      <c r="B23" s="4" t="s">
        <v>122</v>
      </c>
      <c r="C23" s="4" t="s">
        <v>56</v>
      </c>
      <c r="D23" s="4" t="s">
        <v>55</v>
      </c>
      <c r="E23" s="4"/>
      <c r="F23" s="4"/>
      <c r="G23" s="4" t="s">
        <v>77</v>
      </c>
      <c r="H23" s="4" t="s">
        <v>101</v>
      </c>
      <c r="I23" s="4">
        <v>3</v>
      </c>
      <c r="J23" s="5">
        <v>45665</v>
      </c>
      <c r="K23" s="5">
        <v>46029</v>
      </c>
      <c r="L23" s="4" t="s">
        <v>79</v>
      </c>
      <c r="M23" s="4" t="s">
        <v>79</v>
      </c>
      <c r="N23" s="4">
        <v>3</v>
      </c>
      <c r="O23" s="4" t="s">
        <v>86</v>
      </c>
      <c r="P23" s="4" t="s">
        <v>79</v>
      </c>
      <c r="Q23" s="4" t="s">
        <v>79</v>
      </c>
    </row>
    <row r="24" spans="1:17" hidden="1">
      <c r="A24" s="4" t="s">
        <v>112</v>
      </c>
      <c r="B24" s="4" t="s">
        <v>122</v>
      </c>
      <c r="C24" s="4" t="s">
        <v>58</v>
      </c>
      <c r="D24" s="4" t="s">
        <v>57</v>
      </c>
      <c r="E24" s="4"/>
      <c r="F24" s="4"/>
      <c r="G24" s="4" t="s">
        <v>77</v>
      </c>
      <c r="H24" s="4" t="s">
        <v>101</v>
      </c>
      <c r="I24" s="4">
        <v>3</v>
      </c>
      <c r="J24" s="5">
        <v>45665</v>
      </c>
      <c r="K24" s="5">
        <v>46029</v>
      </c>
      <c r="L24" s="4" t="s">
        <v>79</v>
      </c>
      <c r="M24" s="4" t="s">
        <v>79</v>
      </c>
      <c r="N24" s="4">
        <v>12</v>
      </c>
      <c r="O24" s="4" t="s">
        <v>79</v>
      </c>
      <c r="P24" s="4" t="s">
        <v>79</v>
      </c>
      <c r="Q24" s="4" t="s">
        <v>79</v>
      </c>
    </row>
    <row r="25" spans="1:17">
      <c r="A25" s="4" t="s">
        <v>113</v>
      </c>
      <c r="B25" s="4" t="s">
        <v>121</v>
      </c>
      <c r="C25" s="4" t="s">
        <v>19</v>
      </c>
      <c r="D25" s="4" t="s">
        <v>18</v>
      </c>
      <c r="E25" s="4"/>
      <c r="F25" s="4"/>
      <c r="G25" s="4" t="s">
        <v>77</v>
      </c>
      <c r="H25" s="4" t="s">
        <v>114</v>
      </c>
      <c r="I25" s="4">
        <v>2</v>
      </c>
      <c r="J25" s="5">
        <v>45570</v>
      </c>
      <c r="K25" s="5">
        <v>45934</v>
      </c>
      <c r="L25" s="4" t="s">
        <v>79</v>
      </c>
      <c r="M25" s="4" t="s">
        <v>79</v>
      </c>
      <c r="N25" s="4">
        <v>7</v>
      </c>
      <c r="O25" s="4" t="s">
        <v>79</v>
      </c>
      <c r="P25" s="4" t="s">
        <v>79</v>
      </c>
      <c r="Q25" s="4" t="s">
        <v>79</v>
      </c>
    </row>
    <row r="26" spans="1:17">
      <c r="A26" s="4" t="s">
        <v>115</v>
      </c>
      <c r="B26" s="4" t="s">
        <v>121</v>
      </c>
      <c r="C26" s="4" t="s">
        <v>21</v>
      </c>
      <c r="D26" s="4" t="s">
        <v>20</v>
      </c>
      <c r="E26" s="4"/>
      <c r="F26" s="4"/>
      <c r="G26" s="4" t="s">
        <v>77</v>
      </c>
      <c r="H26" s="4" t="s">
        <v>114</v>
      </c>
      <c r="I26" s="4">
        <v>2</v>
      </c>
      <c r="J26" s="5">
        <v>45588</v>
      </c>
      <c r="K26" s="5">
        <v>45952</v>
      </c>
      <c r="L26" s="4" t="s">
        <v>79</v>
      </c>
      <c r="M26" s="4" t="s">
        <v>79</v>
      </c>
      <c r="N26" s="4">
        <v>12</v>
      </c>
      <c r="O26" s="4" t="s">
        <v>79</v>
      </c>
      <c r="P26" s="4" t="s">
        <v>79</v>
      </c>
      <c r="Q26" s="4" t="s">
        <v>79</v>
      </c>
    </row>
    <row r="27" spans="1:17">
      <c r="A27" s="4" t="s">
        <v>116</v>
      </c>
      <c r="B27" s="4" t="s">
        <v>121</v>
      </c>
      <c r="C27" s="4" t="s">
        <v>23</v>
      </c>
      <c r="D27" s="4" t="s">
        <v>22</v>
      </c>
      <c r="E27" s="4"/>
      <c r="F27" s="4"/>
      <c r="G27" s="4" t="s">
        <v>77</v>
      </c>
      <c r="H27" s="4" t="s">
        <v>117</v>
      </c>
      <c r="I27" s="4">
        <v>1</v>
      </c>
      <c r="J27" s="5">
        <v>45440</v>
      </c>
      <c r="K27" s="5">
        <v>45804</v>
      </c>
      <c r="L27" s="4" t="s">
        <v>86</v>
      </c>
      <c r="M27" s="4" t="s">
        <v>86</v>
      </c>
      <c r="N27" s="4">
        <v>0</v>
      </c>
      <c r="O27" s="4" t="s">
        <v>79</v>
      </c>
      <c r="P27" s="4" t="s">
        <v>79</v>
      </c>
      <c r="Q27" s="4" t="s">
        <v>79</v>
      </c>
    </row>
    <row r="28" spans="1:17">
      <c r="A28" s="4" t="s">
        <v>118</v>
      </c>
      <c r="B28" s="4" t="s">
        <v>121</v>
      </c>
      <c r="C28" s="4" t="s">
        <v>25</v>
      </c>
      <c r="D28" s="4" t="s">
        <v>24</v>
      </c>
      <c r="E28" s="4"/>
      <c r="F28" s="4"/>
      <c r="G28" s="4" t="s">
        <v>77</v>
      </c>
      <c r="H28" s="4" t="s">
        <v>114</v>
      </c>
      <c r="I28" s="4">
        <v>2</v>
      </c>
      <c r="J28" s="5">
        <v>45568</v>
      </c>
      <c r="K28" s="5">
        <v>45932</v>
      </c>
      <c r="L28" s="4" t="s">
        <v>86</v>
      </c>
      <c r="M28" s="4" t="s">
        <v>79</v>
      </c>
      <c r="N28" s="4">
        <v>3</v>
      </c>
      <c r="O28" s="4" t="s">
        <v>79</v>
      </c>
      <c r="P28" s="4" t="s">
        <v>79</v>
      </c>
      <c r="Q28" s="4" t="s">
        <v>79</v>
      </c>
    </row>
    <row r="29" spans="1:17" hidden="1">
      <c r="A29" s="4" t="s">
        <v>119</v>
      </c>
      <c r="B29" s="4" t="s">
        <v>122</v>
      </c>
      <c r="C29" s="4" t="s">
        <v>60</v>
      </c>
      <c r="D29" s="4" t="s">
        <v>59</v>
      </c>
      <c r="E29" s="4"/>
      <c r="F29" s="4"/>
      <c r="G29" s="4" t="s">
        <v>77</v>
      </c>
      <c r="H29" s="4" t="s">
        <v>107</v>
      </c>
      <c r="I29" s="4">
        <v>2</v>
      </c>
      <c r="J29" s="5">
        <v>45539</v>
      </c>
      <c r="K29" s="5">
        <v>45903</v>
      </c>
      <c r="L29" s="4" t="s">
        <v>79</v>
      </c>
      <c r="M29" s="4" t="s">
        <v>79</v>
      </c>
      <c r="N29" s="4">
        <v>12</v>
      </c>
      <c r="O29" s="4" t="s">
        <v>79</v>
      </c>
      <c r="P29" s="4" t="s">
        <v>79</v>
      </c>
      <c r="Q29" s="4" t="s">
        <v>79</v>
      </c>
    </row>
  </sheetData>
  <autoFilter ref="A1:Q29" xr:uid="{785A3963-C507-483B-808E-70110241736F}">
    <filterColumn colId="1">
      <filters>
        <filter val="CC"/>
      </filters>
    </filterColumn>
  </autoFilter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b80b92f-9448-407d-bb92-436ea878fe95}" enabled="1" method="Standard" siteId="{64e5ad32-cb04-44df-8896-bed5d77924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內訓+保發中心(訓練年度)</vt:lpstr>
      <vt:lpstr>高齡+洗防+公平待課(20261231到期)</vt:lpstr>
      <vt:lpstr>工作表1</vt:lpstr>
    </vt:vector>
  </TitlesOfParts>
  <Company>Asurion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Darcy</dc:creator>
  <cp:lastModifiedBy>Lin, Darcy</cp:lastModifiedBy>
  <dcterms:created xsi:type="dcterms:W3CDTF">2024-11-18T05:50:32Z</dcterms:created>
  <dcterms:modified xsi:type="dcterms:W3CDTF">2026-07-09T05:30:46Z</dcterms:modified>
</cp:coreProperties>
</file>