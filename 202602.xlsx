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urion.sharepoint.com/teams/Taiwan/taiwancallcenter/Shared Documents/營運管理/班表/班表彙整/2026/2月/"/>
    </mc:Choice>
  </mc:AlternateContent>
  <xr:revisionPtr revIDLastSave="139" documentId="8_{D8783ED5-775F-4246-9634-40CEB82FA4A0}" xr6:coauthVersionLast="47" xr6:coauthVersionMax="47" xr10:uidLastSave="{D2004DA8-2117-4D1C-B918-9E17E91AAC82}"/>
  <bookViews>
    <workbookView xWindow="-120" yWindow="-120" windowWidth="24240" windowHeight="13020" tabRatio="523" xr2:uid="{F655A811-1ABD-4677-893F-B2248E2E15B4}"/>
  </bookViews>
  <sheets>
    <sheet name="201602" sheetId="46" r:id="rId1"/>
    <sheet name="List" sheetId="6" state="hidden" r:id="rId2"/>
    <sheet name="長假申請彙整" sheetId="47" r:id="rId3"/>
    <sheet name="特休日數" sheetId="26" r:id="rId4"/>
    <sheet name="國定假日" sheetId="38" state="hidden" r:id="rId5"/>
  </sheets>
  <definedNames>
    <definedName name="_xlnm._FilterDatabase" localSheetId="3" hidden="1">特休日數!$A$1:$T$1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46" l="1" a="1"/>
  <c r="E20" i="46" s="1"/>
  <c r="E19" i="46" a="1"/>
  <c r="E19" i="46" s="1"/>
  <c r="G20" i="46" a="1"/>
  <c r="G20" i="46" s="1"/>
  <c r="G19" i="46" a="1"/>
  <c r="G19" i="46" s="1"/>
  <c r="R5" i="46"/>
  <c r="Y5" i="46"/>
  <c r="Z5" i="46"/>
  <c r="Q10" i="26"/>
  <c r="T10" i="26" s="1"/>
  <c r="D10" i="26"/>
  <c r="S10" i="26" l="1"/>
  <c r="R10" i="26"/>
  <c r="B26" i="47"/>
  <c r="B25" i="47" s="1"/>
  <c r="B24" i="47"/>
  <c r="B23" i="47" s="1"/>
  <c r="B22" i="47"/>
  <c r="C22" i="47" s="1"/>
  <c r="B20" i="47"/>
  <c r="B19" i="47" s="1"/>
  <c r="B18" i="47"/>
  <c r="C18" i="47" s="1"/>
  <c r="B16" i="47"/>
  <c r="B15" i="47" s="1"/>
  <c r="B14" i="47"/>
  <c r="B13" i="47" s="1"/>
  <c r="B12" i="47"/>
  <c r="B11" i="47" s="1"/>
  <c r="B10" i="47"/>
  <c r="B9" i="47" s="1"/>
  <c r="B8" i="47"/>
  <c r="B7" i="47" s="1"/>
  <c r="B6" i="47"/>
  <c r="B5" i="47" s="1"/>
  <c r="B4" i="47"/>
  <c r="B3" i="47" s="1"/>
  <c r="B21" i="47" l="1"/>
  <c r="C24" i="47"/>
  <c r="C26" i="47"/>
  <c r="D26" i="47" s="1"/>
  <c r="B17" i="47"/>
  <c r="C16" i="47"/>
  <c r="D16" i="47" s="1"/>
  <c r="C14" i="47"/>
  <c r="D14" i="47" s="1"/>
  <c r="C12" i="47"/>
  <c r="D12" i="47" s="1"/>
  <c r="C10" i="47"/>
  <c r="C9" i="47" s="1"/>
  <c r="C8" i="47"/>
  <c r="D8" i="47" s="1"/>
  <c r="D24" i="47"/>
  <c r="C23" i="47"/>
  <c r="C21" i="47"/>
  <c r="D22" i="47"/>
  <c r="C20" i="47"/>
  <c r="D18" i="47"/>
  <c r="C17" i="47"/>
  <c r="C6" i="47"/>
  <c r="C25" i="47" l="1"/>
  <c r="C11" i="47"/>
  <c r="C13" i="47"/>
  <c r="C15" i="47"/>
  <c r="D10" i="47"/>
  <c r="D9" i="47" s="1"/>
  <c r="C7" i="47"/>
  <c r="D25" i="47"/>
  <c r="E26" i="47"/>
  <c r="D23" i="47"/>
  <c r="E24" i="47"/>
  <c r="D21" i="47"/>
  <c r="E22" i="47"/>
  <c r="D20" i="47"/>
  <c r="C19" i="47"/>
  <c r="D17" i="47"/>
  <c r="E18" i="47"/>
  <c r="D15" i="47"/>
  <c r="E16" i="47"/>
  <c r="D13" i="47"/>
  <c r="E14" i="47"/>
  <c r="D11" i="47"/>
  <c r="E12" i="47"/>
  <c r="E10" i="47"/>
  <c r="D7" i="47"/>
  <c r="E8" i="47"/>
  <c r="D6" i="47"/>
  <c r="C5" i="47"/>
  <c r="E25" i="47" l="1"/>
  <c r="F26" i="47"/>
  <c r="E23" i="47"/>
  <c r="F24" i="47"/>
  <c r="E21" i="47"/>
  <c r="F22" i="47"/>
  <c r="D19" i="47"/>
  <c r="E20" i="47"/>
  <c r="E17" i="47"/>
  <c r="F18" i="47"/>
  <c r="E15" i="47"/>
  <c r="F16" i="47"/>
  <c r="E13" i="47"/>
  <c r="F14" i="47"/>
  <c r="E11" i="47"/>
  <c r="F12" i="47"/>
  <c r="E9" i="47"/>
  <c r="F10" i="47"/>
  <c r="E7" i="47"/>
  <c r="F8" i="47"/>
  <c r="D5" i="47"/>
  <c r="E6" i="47"/>
  <c r="F25" i="47" l="1"/>
  <c r="G26" i="47"/>
  <c r="F23" i="47"/>
  <c r="G24" i="47"/>
  <c r="F21" i="47"/>
  <c r="G22" i="47"/>
  <c r="E19" i="47"/>
  <c r="F20" i="47"/>
  <c r="F17" i="47"/>
  <c r="G18" i="47"/>
  <c r="F15" i="47"/>
  <c r="G16" i="47"/>
  <c r="F13" i="47"/>
  <c r="G14" i="47"/>
  <c r="F11" i="47"/>
  <c r="G12" i="47"/>
  <c r="F9" i="47"/>
  <c r="G10" i="47"/>
  <c r="F7" i="47"/>
  <c r="G8" i="47"/>
  <c r="E5" i="47"/>
  <c r="F6" i="47"/>
  <c r="G25" i="47" l="1"/>
  <c r="H26" i="47"/>
  <c r="G23" i="47"/>
  <c r="H24" i="47"/>
  <c r="H22" i="47"/>
  <c r="G21" i="47"/>
  <c r="G20" i="47"/>
  <c r="F19" i="47"/>
  <c r="G17" i="47"/>
  <c r="H18" i="47"/>
  <c r="G15" i="47"/>
  <c r="H16" i="47"/>
  <c r="G13" i="47"/>
  <c r="H14" i="47"/>
  <c r="G11" i="47"/>
  <c r="H12" i="47"/>
  <c r="G9" i="47"/>
  <c r="H10" i="47"/>
  <c r="G7" i="47"/>
  <c r="H8" i="47"/>
  <c r="G6" i="47"/>
  <c r="F5" i="47"/>
  <c r="H25" i="47" l="1"/>
  <c r="I26" i="47"/>
  <c r="I24" i="47"/>
  <c r="H23" i="47"/>
  <c r="I22" i="47"/>
  <c r="H21" i="47"/>
  <c r="G19" i="47"/>
  <c r="H20" i="47"/>
  <c r="I18" i="47"/>
  <c r="H17" i="47"/>
  <c r="I16" i="47"/>
  <c r="H15" i="47"/>
  <c r="H13" i="47"/>
  <c r="I14" i="47"/>
  <c r="I12" i="47"/>
  <c r="H11" i="47"/>
  <c r="I10" i="47"/>
  <c r="H9" i="47"/>
  <c r="I8" i="47"/>
  <c r="H7" i="47"/>
  <c r="G5" i="47"/>
  <c r="H6" i="47"/>
  <c r="J26" i="47" l="1"/>
  <c r="I25" i="47"/>
  <c r="J24" i="47"/>
  <c r="I23" i="47"/>
  <c r="J22" i="47"/>
  <c r="I21" i="47"/>
  <c r="I20" i="47"/>
  <c r="H19" i="47"/>
  <c r="J18" i="47"/>
  <c r="I17" i="47"/>
  <c r="J16" i="47"/>
  <c r="I15" i="47"/>
  <c r="I13" i="47"/>
  <c r="J14" i="47"/>
  <c r="J12" i="47"/>
  <c r="I11" i="47"/>
  <c r="J10" i="47"/>
  <c r="I9" i="47"/>
  <c r="J8" i="47"/>
  <c r="I7" i="47"/>
  <c r="I6" i="47"/>
  <c r="H5" i="47"/>
  <c r="K26" i="47" l="1"/>
  <c r="J25" i="47"/>
  <c r="K24" i="47"/>
  <c r="J23" i="47"/>
  <c r="K22" i="47"/>
  <c r="J21" i="47"/>
  <c r="J20" i="47"/>
  <c r="I19" i="47"/>
  <c r="J17" i="47"/>
  <c r="K18" i="47"/>
  <c r="J15" i="47"/>
  <c r="K16" i="47"/>
  <c r="J13" i="47"/>
  <c r="K14" i="47"/>
  <c r="J11" i="47"/>
  <c r="K12" i="47"/>
  <c r="K10" i="47"/>
  <c r="J9" i="47"/>
  <c r="K8" i="47"/>
  <c r="J7" i="47"/>
  <c r="I5" i="47"/>
  <c r="J6" i="47"/>
  <c r="L26" i="47" l="1"/>
  <c r="K25" i="47"/>
  <c r="L24" i="47"/>
  <c r="K23" i="47"/>
  <c r="L22" i="47"/>
  <c r="K21" i="47"/>
  <c r="K20" i="47"/>
  <c r="J19" i="47"/>
  <c r="K17" i="47"/>
  <c r="L18" i="47"/>
  <c r="K15" i="47"/>
  <c r="L16" i="47"/>
  <c r="K13" i="47"/>
  <c r="L14" i="47"/>
  <c r="L12" i="47"/>
  <c r="K11" i="47"/>
  <c r="L10" i="47"/>
  <c r="K9" i="47"/>
  <c r="L8" i="47"/>
  <c r="K7" i="47"/>
  <c r="K6" i="47"/>
  <c r="J5" i="47"/>
  <c r="J2" i="46"/>
  <c r="M26" i="47" l="1"/>
  <c r="L25" i="47"/>
  <c r="M24" i="47"/>
  <c r="L23" i="47"/>
  <c r="M22" i="47"/>
  <c r="L21" i="47"/>
  <c r="L20" i="47"/>
  <c r="K19" i="47"/>
  <c r="L17" i="47"/>
  <c r="M18" i="47"/>
  <c r="M16" i="47"/>
  <c r="L15" i="47"/>
  <c r="L13" i="47"/>
  <c r="M14" i="47"/>
  <c r="L11" i="47"/>
  <c r="M12" i="47"/>
  <c r="L9" i="47"/>
  <c r="M10" i="47"/>
  <c r="M8" i="47"/>
  <c r="L7" i="47"/>
  <c r="L6" i="47"/>
  <c r="K5" i="47"/>
  <c r="K2" i="46"/>
  <c r="J1" i="46"/>
  <c r="J3" i="46" l="1"/>
  <c r="J12" i="46"/>
  <c r="J8" i="46"/>
  <c r="J14" i="46"/>
  <c r="J10" i="46"/>
  <c r="N26" i="47"/>
  <c r="M25" i="47"/>
  <c r="N24" i="47"/>
  <c r="M23" i="47"/>
  <c r="M21" i="47"/>
  <c r="N22" i="47"/>
  <c r="M20" i="47"/>
  <c r="L19" i="47"/>
  <c r="M17" i="47"/>
  <c r="N18" i="47"/>
  <c r="N16" i="47"/>
  <c r="M15" i="47"/>
  <c r="N14" i="47"/>
  <c r="M13" i="47"/>
  <c r="M11" i="47"/>
  <c r="N12" i="47"/>
  <c r="N10" i="47"/>
  <c r="M9" i="47"/>
  <c r="N8" i="47"/>
  <c r="M7" i="47"/>
  <c r="L5" i="47"/>
  <c r="M6" i="47"/>
  <c r="K1" i="46"/>
  <c r="L2" i="46"/>
  <c r="J22" i="46"/>
  <c r="Q3" i="26"/>
  <c r="D3" i="26"/>
  <c r="J24" i="46" l="1" a="1"/>
  <c r="J24" i="46" s="1"/>
  <c r="K12" i="46"/>
  <c r="K6" i="46"/>
  <c r="K16" i="46"/>
  <c r="K14" i="46"/>
  <c r="K10" i="46"/>
  <c r="K8" i="46"/>
  <c r="K3" i="46"/>
  <c r="K22" i="46"/>
  <c r="J5" i="46"/>
  <c r="J26" i="46" a="1"/>
  <c r="J26" i="46" s="1"/>
  <c r="O26" i="47"/>
  <c r="N25" i="47"/>
  <c r="O24" i="47"/>
  <c r="N23" i="47"/>
  <c r="O22" i="47"/>
  <c r="N21" i="47"/>
  <c r="N20" i="47"/>
  <c r="M19" i="47"/>
  <c r="O18" i="47"/>
  <c r="N17" i="47"/>
  <c r="O16" i="47"/>
  <c r="N15" i="47"/>
  <c r="N13" i="47"/>
  <c r="O14" i="47"/>
  <c r="O12" i="47"/>
  <c r="N11" i="47"/>
  <c r="O10" i="47"/>
  <c r="N9" i="47"/>
  <c r="O8" i="47"/>
  <c r="N7" i="47"/>
  <c r="M5" i="47"/>
  <c r="N6" i="47"/>
  <c r="T3" i="26"/>
  <c r="R3" i="26" s="1"/>
  <c r="M2" i="46"/>
  <c r="J25" i="46" a="1"/>
  <c r="J25" i="46" s="1"/>
  <c r="J23" i="46" a="1"/>
  <c r="J23" i="46" s="1"/>
  <c r="L1" i="46"/>
  <c r="K24" i="46" l="1" a="1"/>
  <c r="K24" i="46" s="1"/>
  <c r="K28" i="46" s="1"/>
  <c r="K26" i="46" a="1"/>
  <c r="K26" i="46" s="1"/>
  <c r="K25" i="46" a="1"/>
  <c r="K25" i="46" s="1"/>
  <c r="K5" i="46"/>
  <c r="K23" i="46" a="1"/>
  <c r="K23" i="46" s="1"/>
  <c r="K27" i="46" s="1"/>
  <c r="L12" i="46"/>
  <c r="L10" i="46"/>
  <c r="L14" i="46"/>
  <c r="L16" i="46"/>
  <c r="L6" i="46"/>
  <c r="L3" i="46"/>
  <c r="J28" i="46"/>
  <c r="J18" i="46" s="1"/>
  <c r="M1" i="46"/>
  <c r="L22" i="46"/>
  <c r="P26" i="47"/>
  <c r="O25" i="47"/>
  <c r="P24" i="47"/>
  <c r="O23" i="47"/>
  <c r="P22" i="47"/>
  <c r="O21" i="47"/>
  <c r="O20" i="47"/>
  <c r="N19" i="47"/>
  <c r="P18" i="47"/>
  <c r="O17" i="47"/>
  <c r="P16" i="47"/>
  <c r="O15" i="47"/>
  <c r="O13" i="47"/>
  <c r="P14" i="47"/>
  <c r="O11" i="47"/>
  <c r="P12" i="47"/>
  <c r="O9" i="47"/>
  <c r="P10" i="47"/>
  <c r="O7" i="47"/>
  <c r="P8" i="47"/>
  <c r="O6" i="47"/>
  <c r="N5" i="47"/>
  <c r="J27" i="46"/>
  <c r="S3" i="26"/>
  <c r="N2" i="46"/>
  <c r="L24" i="46" l="1" a="1"/>
  <c r="L24" i="46" s="1"/>
  <c r="L26" i="46" a="1"/>
  <c r="L26" i="46" s="1"/>
  <c r="L25" i="46" a="1"/>
  <c r="L25" i="46" s="1"/>
  <c r="L5" i="46"/>
  <c r="L23" i="46" a="1"/>
  <c r="L23" i="46" s="1"/>
  <c r="M12" i="46"/>
  <c r="M6" i="46"/>
  <c r="M16" i="46"/>
  <c r="M14" i="46"/>
  <c r="M10" i="46"/>
  <c r="M8" i="46"/>
  <c r="M3" i="46"/>
  <c r="N1" i="46"/>
  <c r="K18" i="46"/>
  <c r="M22" i="46"/>
  <c r="Q26" i="47"/>
  <c r="P25" i="47"/>
  <c r="Q24" i="47"/>
  <c r="P23" i="47"/>
  <c r="Q22" i="47"/>
  <c r="P21" i="47"/>
  <c r="O19" i="47"/>
  <c r="P20" i="47"/>
  <c r="Q18" i="47"/>
  <c r="P17" i="47"/>
  <c r="Q16" i="47"/>
  <c r="P15" i="47"/>
  <c r="P13" i="47"/>
  <c r="Q14" i="47"/>
  <c r="Q12" i="47"/>
  <c r="P11" i="47"/>
  <c r="Q10" i="47"/>
  <c r="P9" i="47"/>
  <c r="Q8" i="47"/>
  <c r="P7" i="47"/>
  <c r="O5" i="47"/>
  <c r="P6" i="47"/>
  <c r="O2" i="46"/>
  <c r="L28" i="46" l="1"/>
  <c r="L27" i="46"/>
  <c r="M24" i="46" a="1"/>
  <c r="M24" i="46" s="1"/>
  <c r="M26" i="46" a="1"/>
  <c r="M26" i="46" s="1"/>
  <c r="M25" i="46" a="1"/>
  <c r="M25" i="46" s="1"/>
  <c r="M5" i="46"/>
  <c r="M23" i="46" a="1"/>
  <c r="M23" i="46" s="1"/>
  <c r="M27" i="46" s="1"/>
  <c r="N12" i="46"/>
  <c r="N6" i="46"/>
  <c r="N16" i="46"/>
  <c r="N10" i="46"/>
  <c r="N8" i="46"/>
  <c r="N14" i="46"/>
  <c r="N3" i="46"/>
  <c r="L18" i="46"/>
  <c r="N22" i="46"/>
  <c r="R26" i="47"/>
  <c r="Q25" i="47"/>
  <c r="R24" i="47"/>
  <c r="Q23" i="47"/>
  <c r="Q21" i="47"/>
  <c r="R22" i="47"/>
  <c r="P19" i="47"/>
  <c r="Q20" i="47"/>
  <c r="R18" i="47"/>
  <c r="Q17" i="47"/>
  <c r="R16" i="47"/>
  <c r="Q15" i="47"/>
  <c r="R14" i="47"/>
  <c r="Q13" i="47"/>
  <c r="R12" i="47"/>
  <c r="Q11" i="47"/>
  <c r="R10" i="47"/>
  <c r="Q9" i="47"/>
  <c r="R8" i="47"/>
  <c r="Q7" i="47"/>
  <c r="Q6" i="47"/>
  <c r="P5" i="47"/>
  <c r="P2" i="46"/>
  <c r="O1" i="46"/>
  <c r="M28" i="46" l="1"/>
  <c r="N24" i="46" a="1"/>
  <c r="N24" i="46" s="1"/>
  <c r="N25" i="46" a="1"/>
  <c r="N25" i="46" s="1"/>
  <c r="N26" i="46" a="1"/>
  <c r="N26" i="46" s="1"/>
  <c r="N5" i="46"/>
  <c r="N23" i="46" a="1"/>
  <c r="N23" i="46" s="1"/>
  <c r="N27" i="46" s="1"/>
  <c r="O12" i="46"/>
  <c r="O6" i="46"/>
  <c r="O16" i="46"/>
  <c r="O14" i="46"/>
  <c r="O10" i="46"/>
  <c r="O8" i="46"/>
  <c r="O3" i="46"/>
  <c r="M18" i="46"/>
  <c r="O22" i="46"/>
  <c r="R25" i="47"/>
  <c r="S26" i="47"/>
  <c r="R23" i="47"/>
  <c r="S24" i="47"/>
  <c r="R21" i="47"/>
  <c r="S22" i="47"/>
  <c r="R20" i="47"/>
  <c r="Q19" i="47"/>
  <c r="R17" i="47"/>
  <c r="S18" i="47"/>
  <c r="R15" i="47"/>
  <c r="S16" i="47"/>
  <c r="R13" i="47"/>
  <c r="S14" i="47"/>
  <c r="R11" i="47"/>
  <c r="S12" i="47"/>
  <c r="R9" i="47"/>
  <c r="S10" i="47"/>
  <c r="R7" i="47"/>
  <c r="S8" i="47"/>
  <c r="R6" i="47"/>
  <c r="Q5" i="47"/>
  <c r="P1" i="46"/>
  <c r="Q2" i="46"/>
  <c r="N28" i="46" l="1"/>
  <c r="O24" i="46" a="1"/>
  <c r="O24" i="46" s="1"/>
  <c r="O26" i="46" a="1"/>
  <c r="O26" i="46" s="1"/>
  <c r="O25" i="46" a="1"/>
  <c r="O25" i="46" s="1"/>
  <c r="O5" i="46"/>
  <c r="O23" i="46" a="1"/>
  <c r="O23" i="46" s="1"/>
  <c r="O27" i="46" s="1"/>
  <c r="P12" i="46"/>
  <c r="P6" i="46"/>
  <c r="P16" i="46"/>
  <c r="P14" i="46"/>
  <c r="P10" i="46"/>
  <c r="P8" i="46"/>
  <c r="P3" i="46"/>
  <c r="P22" i="46"/>
  <c r="N18" i="46"/>
  <c r="S25" i="47"/>
  <c r="T26" i="47"/>
  <c r="S23" i="47"/>
  <c r="T24" i="47"/>
  <c r="S21" i="47"/>
  <c r="T22" i="47"/>
  <c r="R19" i="47"/>
  <c r="S20" i="47"/>
  <c r="S17" i="47"/>
  <c r="T18" i="47"/>
  <c r="S15" i="47"/>
  <c r="T16" i="47"/>
  <c r="T14" i="47"/>
  <c r="S13" i="47"/>
  <c r="S11" i="47"/>
  <c r="T12" i="47"/>
  <c r="S9" i="47"/>
  <c r="T10" i="47"/>
  <c r="S7" i="47"/>
  <c r="T8" i="47"/>
  <c r="R5" i="47"/>
  <c r="S6" i="47"/>
  <c r="Q1" i="46"/>
  <c r="R2" i="46"/>
  <c r="O28" i="46" l="1"/>
  <c r="P24" i="46" a="1"/>
  <c r="P24" i="46" s="1"/>
  <c r="P28" i="46" s="1"/>
  <c r="P26" i="46" a="1"/>
  <c r="P26" i="46" s="1"/>
  <c r="P25" i="46" a="1"/>
  <c r="P25" i="46" s="1"/>
  <c r="P5" i="46"/>
  <c r="P23" i="46" a="1"/>
  <c r="P23" i="46" s="1"/>
  <c r="Q12" i="46"/>
  <c r="Q16" i="46"/>
  <c r="Q10" i="46"/>
  <c r="Q8" i="46"/>
  <c r="Q3" i="46"/>
  <c r="R1" i="46"/>
  <c r="R22" i="46" s="1"/>
  <c r="O18" i="46"/>
  <c r="Q22" i="46"/>
  <c r="T25" i="47"/>
  <c r="U26" i="47"/>
  <c r="T23" i="47"/>
  <c r="U24" i="47"/>
  <c r="T21" i="47"/>
  <c r="U22" i="47"/>
  <c r="S19" i="47"/>
  <c r="T20" i="47"/>
  <c r="T17" i="47"/>
  <c r="U18" i="47"/>
  <c r="T15" i="47"/>
  <c r="U16" i="47"/>
  <c r="T13" i="47"/>
  <c r="U14" i="47"/>
  <c r="T11" i="47"/>
  <c r="U12" i="47"/>
  <c r="T9" i="47"/>
  <c r="U10" i="47"/>
  <c r="T7" i="47"/>
  <c r="U8" i="47"/>
  <c r="S5" i="47"/>
  <c r="T6" i="47"/>
  <c r="S2" i="46"/>
  <c r="P27" i="46" l="1"/>
  <c r="Q24" i="46" a="1"/>
  <c r="Q24" i="46" s="1"/>
  <c r="Q26" i="46" a="1"/>
  <c r="Q26" i="46" s="1"/>
  <c r="Q25" i="46" a="1"/>
  <c r="Q25" i="46" s="1"/>
  <c r="Q5" i="46"/>
  <c r="Q23" i="46" a="1"/>
  <c r="Q23" i="46" s="1"/>
  <c r="Q27" i="46" s="1"/>
  <c r="R12" i="46"/>
  <c r="R6" i="46"/>
  <c r="R16" i="46"/>
  <c r="R14" i="46"/>
  <c r="R10" i="46"/>
  <c r="R8" i="46"/>
  <c r="P18" i="46"/>
  <c r="U25" i="47"/>
  <c r="V26" i="47"/>
  <c r="U23" i="47"/>
  <c r="V24" i="47"/>
  <c r="V22" i="47"/>
  <c r="U21" i="47"/>
  <c r="U20" i="47"/>
  <c r="T19" i="47"/>
  <c r="U17" i="47"/>
  <c r="V18" i="47"/>
  <c r="U15" i="47"/>
  <c r="V16" i="47"/>
  <c r="U13" i="47"/>
  <c r="V14" i="47"/>
  <c r="U11" i="47"/>
  <c r="V12" i="47"/>
  <c r="U9" i="47"/>
  <c r="V10" i="47"/>
  <c r="U7" i="47"/>
  <c r="V8" i="47"/>
  <c r="T5" i="47"/>
  <c r="U6" i="47"/>
  <c r="S1" i="46"/>
  <c r="T2" i="46"/>
  <c r="Q28" i="46" l="1"/>
  <c r="R24" i="46" a="1"/>
  <c r="R24" i="46" s="1"/>
  <c r="R26" i="46" a="1"/>
  <c r="R26" i="46" s="1"/>
  <c r="R23" i="46" a="1"/>
  <c r="R23" i="46" s="1"/>
  <c r="R27" i="46" s="1"/>
  <c r="R25" i="46" a="1"/>
  <c r="R25" i="46" s="1"/>
  <c r="S12" i="46"/>
  <c r="S6" i="46"/>
  <c r="S14" i="46"/>
  <c r="S16" i="46"/>
  <c r="S8" i="46"/>
  <c r="S3" i="46"/>
  <c r="T1" i="46"/>
  <c r="Q18" i="46"/>
  <c r="S22" i="46"/>
  <c r="W26" i="47"/>
  <c r="V25" i="47"/>
  <c r="W24" i="47"/>
  <c r="V23" i="47"/>
  <c r="W22" i="47"/>
  <c r="V21" i="47"/>
  <c r="U19" i="47"/>
  <c r="V20" i="47"/>
  <c r="V17" i="47"/>
  <c r="W18" i="47"/>
  <c r="W16" i="47"/>
  <c r="V15" i="47"/>
  <c r="V13" i="47"/>
  <c r="W14" i="47"/>
  <c r="V11" i="47"/>
  <c r="W12" i="47"/>
  <c r="W10" i="47"/>
  <c r="V9" i="47"/>
  <c r="W8" i="47"/>
  <c r="V7" i="47"/>
  <c r="U5" i="47"/>
  <c r="V6" i="47"/>
  <c r="U2" i="46"/>
  <c r="R28" i="46" l="1"/>
  <c r="S24" i="46" a="1"/>
  <c r="S24" i="46" s="1"/>
  <c r="S28" i="46" s="1"/>
  <c r="S25" i="46" a="1"/>
  <c r="S25" i="46" s="1"/>
  <c r="S26" i="46" a="1"/>
  <c r="S26" i="46" s="1"/>
  <c r="S5" i="46"/>
  <c r="S23" i="46" a="1"/>
  <c r="S23" i="46" s="1"/>
  <c r="T22" i="46"/>
  <c r="T10" i="46"/>
  <c r="R18" i="46"/>
  <c r="T12" i="46"/>
  <c r="T6" i="46"/>
  <c r="T8" i="46"/>
  <c r="T3" i="46"/>
  <c r="U1" i="46"/>
  <c r="X26" i="47"/>
  <c r="W25" i="47"/>
  <c r="X24" i="47"/>
  <c r="W23" i="47"/>
  <c r="X22" i="47"/>
  <c r="W21" i="47"/>
  <c r="W20" i="47"/>
  <c r="V19" i="47"/>
  <c r="X18" i="47"/>
  <c r="W17" i="47"/>
  <c r="W15" i="47"/>
  <c r="X16" i="47"/>
  <c r="X14" i="47"/>
  <c r="W13" i="47"/>
  <c r="X12" i="47"/>
  <c r="W11" i="47"/>
  <c r="X10" i="47"/>
  <c r="W9" i="47"/>
  <c r="X8" i="47"/>
  <c r="W7" i="47"/>
  <c r="W6" i="47"/>
  <c r="V5" i="47"/>
  <c r="V2" i="46"/>
  <c r="S27" i="46" l="1"/>
  <c r="T24" i="46" a="1"/>
  <c r="T24" i="46" s="1"/>
  <c r="T26" i="46" a="1"/>
  <c r="T26" i="46" s="1"/>
  <c r="T25" i="46" a="1"/>
  <c r="T25" i="46" s="1"/>
  <c r="T5" i="46"/>
  <c r="T23" i="46" a="1"/>
  <c r="T23" i="46" s="1"/>
  <c r="T27" i="46" s="1"/>
  <c r="U12" i="46"/>
  <c r="U6" i="46"/>
  <c r="U16" i="46"/>
  <c r="U14" i="46"/>
  <c r="U10" i="46"/>
  <c r="U8" i="46"/>
  <c r="U3" i="46"/>
  <c r="U22" i="46"/>
  <c r="S18" i="46"/>
  <c r="Y26" i="47"/>
  <c r="X25" i="47"/>
  <c r="Y24" i="47"/>
  <c r="X23" i="47"/>
  <c r="Y22" i="47"/>
  <c r="X21" i="47"/>
  <c r="X20" i="47"/>
  <c r="W19" i="47"/>
  <c r="Y18" i="47"/>
  <c r="X17" i="47"/>
  <c r="Y16" i="47"/>
  <c r="X15" i="47"/>
  <c r="Y14" i="47"/>
  <c r="X13" i="47"/>
  <c r="X11" i="47"/>
  <c r="Y12" i="47"/>
  <c r="X9" i="47"/>
  <c r="Y10" i="47"/>
  <c r="Y8" i="47"/>
  <c r="X7" i="47"/>
  <c r="X6" i="47"/>
  <c r="W5" i="47"/>
  <c r="V1" i="46"/>
  <c r="W2" i="46"/>
  <c r="T28" i="46" l="1"/>
  <c r="U24" i="46" a="1"/>
  <c r="U24" i="46" s="1"/>
  <c r="U28" i="46" s="1"/>
  <c r="U26" i="46" a="1"/>
  <c r="U26" i="46" s="1"/>
  <c r="U25" i="46" a="1"/>
  <c r="U25" i="46" s="1"/>
  <c r="U5" i="46"/>
  <c r="U23" i="46" a="1"/>
  <c r="U23" i="46" s="1"/>
  <c r="U27" i="46" s="1"/>
  <c r="V12" i="46"/>
  <c r="V6" i="46"/>
  <c r="V10" i="46"/>
  <c r="V8" i="46"/>
  <c r="V3" i="46"/>
  <c r="T18" i="46"/>
  <c r="V22" i="46"/>
  <c r="W1" i="46"/>
  <c r="Z26" i="47"/>
  <c r="Y25" i="47"/>
  <c r="Z24" i="47"/>
  <c r="Y23" i="47"/>
  <c r="Z22" i="47"/>
  <c r="Y21" i="47"/>
  <c r="Y20" i="47"/>
  <c r="X19" i="47"/>
  <c r="Z18" i="47"/>
  <c r="Y17" i="47"/>
  <c r="Y15" i="47"/>
  <c r="Z16" i="47"/>
  <c r="Z14" i="47"/>
  <c r="Y13" i="47"/>
  <c r="Z12" i="47"/>
  <c r="Y11" i="47"/>
  <c r="Z10" i="47"/>
  <c r="Y9" i="47"/>
  <c r="Z8" i="47"/>
  <c r="Y7" i="47"/>
  <c r="Y6" i="47"/>
  <c r="X5" i="47"/>
  <c r="X2" i="46"/>
  <c r="V24" i="46" l="1" a="1"/>
  <c r="V24" i="46" s="1"/>
  <c r="V25" i="46" a="1"/>
  <c r="V25" i="46" s="1"/>
  <c r="V26" i="46" a="1"/>
  <c r="V26" i="46" s="1"/>
  <c r="V5" i="46"/>
  <c r="V23" i="46" a="1"/>
  <c r="V23" i="46" s="1"/>
  <c r="W6" i="46"/>
  <c r="W16" i="46"/>
  <c r="W14" i="46"/>
  <c r="W10" i="46"/>
  <c r="W8" i="46"/>
  <c r="W3" i="46"/>
  <c r="U18" i="46"/>
  <c r="W22" i="46"/>
  <c r="AA26" i="47"/>
  <c r="Z25" i="47"/>
  <c r="AA24" i="47"/>
  <c r="Z23" i="47"/>
  <c r="AA22" i="47"/>
  <c r="Z21" i="47"/>
  <c r="Z20" i="47"/>
  <c r="Y19" i="47"/>
  <c r="AA18" i="47"/>
  <c r="Z17" i="47"/>
  <c r="AA16" i="47"/>
  <c r="Z15" i="47"/>
  <c r="AA14" i="47"/>
  <c r="Z13" i="47"/>
  <c r="Z11" i="47"/>
  <c r="AA12" i="47"/>
  <c r="AA10" i="47"/>
  <c r="Z9" i="47"/>
  <c r="AA8" i="47"/>
  <c r="Z7" i="47"/>
  <c r="Y5" i="47"/>
  <c r="Z6" i="47"/>
  <c r="X1" i="46"/>
  <c r="Y2" i="46"/>
  <c r="V28" i="46" l="1"/>
  <c r="V18" i="46" s="1"/>
  <c r="V27" i="46"/>
  <c r="W26" i="46" a="1"/>
  <c r="W26" i="46" s="1"/>
  <c r="W25" i="46" a="1"/>
  <c r="W25" i="46" s="1"/>
  <c r="W24" i="46" a="1"/>
  <c r="W24" i="46" s="1"/>
  <c r="W28" i="46" s="1"/>
  <c r="W5" i="46"/>
  <c r="W23" i="46" a="1"/>
  <c r="W23" i="46" s="1"/>
  <c r="W27" i="46" s="1"/>
  <c r="X12" i="46"/>
  <c r="X10" i="46"/>
  <c r="X8" i="46"/>
  <c r="X3" i="46"/>
  <c r="X22" i="46"/>
  <c r="AB26" i="47"/>
  <c r="AA25" i="47"/>
  <c r="AB24" i="47"/>
  <c r="AA23" i="47"/>
  <c r="AB22" i="47"/>
  <c r="AA21" i="47"/>
  <c r="AA20" i="47"/>
  <c r="Z19" i="47"/>
  <c r="AB18" i="47"/>
  <c r="AA17" i="47"/>
  <c r="AB16" i="47"/>
  <c r="AA15" i="47"/>
  <c r="AB14" i="47"/>
  <c r="AA13" i="47"/>
  <c r="AB12" i="47"/>
  <c r="AA11" i="47"/>
  <c r="AA9" i="47"/>
  <c r="AB10" i="47"/>
  <c r="AA7" i="47"/>
  <c r="AB8" i="47"/>
  <c r="AA6" i="47"/>
  <c r="Z5" i="47"/>
  <c r="Y1" i="46"/>
  <c r="Z2" i="46"/>
  <c r="X24" i="46" l="1" a="1"/>
  <c r="X24" i="46" s="1"/>
  <c r="X26" i="46" a="1"/>
  <c r="X26" i="46" s="1"/>
  <c r="X25" i="46" a="1"/>
  <c r="X25" i="46" s="1"/>
  <c r="X5" i="46"/>
  <c r="X23" i="46" a="1"/>
  <c r="X23" i="46" s="1"/>
  <c r="X27" i="46" s="1"/>
  <c r="Y12" i="46"/>
  <c r="Y6" i="46"/>
  <c r="Y8" i="46"/>
  <c r="Y14" i="46"/>
  <c r="Y22" i="46"/>
  <c r="W18" i="46"/>
  <c r="AB25" i="47"/>
  <c r="AC26" i="47"/>
  <c r="AC24" i="47"/>
  <c r="AB23" i="47"/>
  <c r="AC22" i="47"/>
  <c r="AB21" i="47"/>
  <c r="AB20" i="47"/>
  <c r="AA19" i="47"/>
  <c r="AC18" i="47"/>
  <c r="AB17" i="47"/>
  <c r="AB15" i="47"/>
  <c r="AC16" i="47"/>
  <c r="AC14" i="47"/>
  <c r="AB13" i="47"/>
  <c r="AC12" i="47"/>
  <c r="AB11" i="47"/>
  <c r="AB9" i="47"/>
  <c r="AC10" i="47"/>
  <c r="AC8" i="47"/>
  <c r="AB7" i="47"/>
  <c r="AA5" i="47"/>
  <c r="AB6" i="47"/>
  <c r="Z1" i="46"/>
  <c r="AA2" i="46"/>
  <c r="X28" i="46" l="1"/>
  <c r="Y24" i="46" a="1"/>
  <c r="Y24" i="46" s="1"/>
  <c r="Y26" i="46" a="1"/>
  <c r="Y26" i="46" s="1"/>
  <c r="Y23" i="46" a="1"/>
  <c r="Y23" i="46" s="1"/>
  <c r="Y25" i="46" a="1"/>
  <c r="Y25" i="46" s="1"/>
  <c r="Z12" i="46"/>
  <c r="Z14" i="46"/>
  <c r="X18" i="46"/>
  <c r="Z22" i="46"/>
  <c r="AD26" i="47"/>
  <c r="AC25" i="47"/>
  <c r="AD24" i="47"/>
  <c r="AC23" i="47"/>
  <c r="AC21" i="47"/>
  <c r="AD22" i="47"/>
  <c r="AC20" i="47"/>
  <c r="AB19" i="47"/>
  <c r="AD18" i="47"/>
  <c r="AC17" i="47"/>
  <c r="AC15" i="47"/>
  <c r="AD16" i="47"/>
  <c r="AD14" i="47"/>
  <c r="AC13" i="47"/>
  <c r="AD12" i="47"/>
  <c r="AC11" i="47"/>
  <c r="AC9" i="47"/>
  <c r="AD10" i="47"/>
  <c r="AC7" i="47"/>
  <c r="AD8" i="47"/>
  <c r="AB5" i="47"/>
  <c r="AC6" i="47"/>
  <c r="AA1" i="46"/>
  <c r="AB2" i="46"/>
  <c r="Y28" i="46" l="1"/>
  <c r="Y27" i="46"/>
  <c r="Z26" i="46" a="1"/>
  <c r="Z26" i="46" s="1"/>
  <c r="Z25" i="46" a="1"/>
  <c r="Z25" i="46" s="1"/>
  <c r="Z23" i="46" a="1"/>
  <c r="Z23" i="46" s="1"/>
  <c r="Z24" i="46" a="1"/>
  <c r="Z24" i="46" s="1"/>
  <c r="AA3" i="46"/>
  <c r="AA12" i="46"/>
  <c r="AA6" i="46"/>
  <c r="AA10" i="46"/>
  <c r="AA16" i="46"/>
  <c r="AA22" i="46"/>
  <c r="Y18" i="46"/>
  <c r="AE26" i="47"/>
  <c r="AD25" i="47"/>
  <c r="AE24" i="47"/>
  <c r="AD23" i="47"/>
  <c r="AE22" i="47"/>
  <c r="AD21" i="47"/>
  <c r="AC19" i="47"/>
  <c r="AD20" i="47"/>
  <c r="AE18" i="47"/>
  <c r="AD17" i="47"/>
  <c r="AE16" i="47"/>
  <c r="AD15" i="47"/>
  <c r="AE14" i="47"/>
  <c r="AD13" i="47"/>
  <c r="AE12" i="47"/>
  <c r="AD11" i="47"/>
  <c r="AD9" i="47"/>
  <c r="AE10" i="47"/>
  <c r="AE8" i="47"/>
  <c r="AD7" i="47"/>
  <c r="AC5" i="47"/>
  <c r="AB1" i="46"/>
  <c r="AC2" i="46"/>
  <c r="Z28" i="46" l="1"/>
  <c r="Z27" i="46"/>
  <c r="AA5" i="46"/>
  <c r="AA23" i="46" a="1"/>
  <c r="AA23" i="46" s="1"/>
  <c r="AA24" i="46" a="1"/>
  <c r="AA24" i="46" s="1"/>
  <c r="AA25" i="46" a="1"/>
  <c r="AA25" i="46" s="1"/>
  <c r="AA26" i="46" a="1"/>
  <c r="AA26" i="46" s="1"/>
  <c r="AB3" i="46"/>
  <c r="AB12" i="46"/>
  <c r="AB8" i="46"/>
  <c r="AB14" i="46"/>
  <c r="AB10" i="46"/>
  <c r="AB16" i="46"/>
  <c r="Z18" i="46"/>
  <c r="AB22" i="46"/>
  <c r="AD2" i="46"/>
  <c r="AF26" i="47"/>
  <c r="AF25" i="47" s="1"/>
  <c r="AE25" i="47"/>
  <c r="AE23" i="47"/>
  <c r="AE21" i="47"/>
  <c r="AF22" i="47"/>
  <c r="AF21" i="47" s="1"/>
  <c r="AD19" i="47"/>
  <c r="AE20" i="47"/>
  <c r="AF18" i="47"/>
  <c r="AF17" i="47" s="1"/>
  <c r="AE17" i="47"/>
  <c r="AF16" i="47"/>
  <c r="AF15" i="47" s="1"/>
  <c r="AE15" i="47"/>
  <c r="AE13" i="47"/>
  <c r="AF12" i="47"/>
  <c r="AF11" i="47" s="1"/>
  <c r="AE11" i="47"/>
  <c r="AE9" i="47"/>
  <c r="AF8" i="47"/>
  <c r="AF7" i="47" s="1"/>
  <c r="AE7" i="47"/>
  <c r="AC1" i="46"/>
  <c r="AA27" i="46" l="1"/>
  <c r="AA28" i="46"/>
  <c r="AB5" i="46"/>
  <c r="AB23" i="46" a="1"/>
  <c r="AB23" i="46" s="1"/>
  <c r="AB24" i="46" a="1"/>
  <c r="AB24" i="46" s="1"/>
  <c r="AB28" i="46" s="1"/>
  <c r="AB26" i="46" a="1"/>
  <c r="AB26" i="46" s="1"/>
  <c r="AB25" i="46" a="1"/>
  <c r="AB25" i="46" s="1"/>
  <c r="AC3" i="46"/>
  <c r="AC6" i="46"/>
  <c r="AC10" i="46"/>
  <c r="AC8" i="46"/>
  <c r="AC14" i="46"/>
  <c r="AA18" i="46"/>
  <c r="AE2" i="46"/>
  <c r="AE1" i="46" s="1"/>
  <c r="AD1" i="46"/>
  <c r="AC22" i="46"/>
  <c r="AE19" i="47"/>
  <c r="AB27" i="46" l="1"/>
  <c r="AC5" i="46"/>
  <c r="AC23" i="46" a="1"/>
  <c r="AC23" i="46" s="1"/>
  <c r="AC25" i="46" a="1"/>
  <c r="AC25" i="46" s="1"/>
  <c r="AC26" i="46" a="1"/>
  <c r="AC26" i="46" s="1"/>
  <c r="AC24" i="46" a="1"/>
  <c r="AC24" i="46" s="1"/>
  <c r="AC28" i="46" s="1"/>
  <c r="AE3" i="46"/>
  <c r="AE23" i="46" s="1" a="1"/>
  <c r="AE23" i="46" s="1"/>
  <c r="AE8" i="46"/>
  <c r="AD3" i="46"/>
  <c r="AD6" i="46"/>
  <c r="AD16" i="46"/>
  <c r="AD14" i="46"/>
  <c r="AD10" i="46"/>
  <c r="AD8" i="46"/>
  <c r="AE22" i="46"/>
  <c r="AE16" i="46"/>
  <c r="AE24" i="46" s="1" a="1"/>
  <c r="AE24" i="46" s="1"/>
  <c r="AE10" i="46"/>
  <c r="AB18" i="46"/>
  <c r="AD22" i="46"/>
  <c r="AF2" i="46"/>
  <c r="AC27" i="46" l="1"/>
  <c r="AE25" i="46" a="1"/>
  <c r="AE25" i="46" s="1"/>
  <c r="AE26" i="46" a="1"/>
  <c r="AE26" i="46" s="1"/>
  <c r="AD5" i="46"/>
  <c r="AD23" i="46" a="1"/>
  <c r="AD23" i="46" s="1"/>
  <c r="AD25" i="46" a="1"/>
  <c r="AD25" i="46" s="1"/>
  <c r="AD26" i="46" a="1"/>
  <c r="AD26" i="46" s="1"/>
  <c r="AD24" i="46" a="1"/>
  <c r="AD24" i="46" s="1"/>
  <c r="AD28" i="46" s="1"/>
  <c r="AE27" i="46"/>
  <c r="AE5" i="46"/>
  <c r="AC18" i="46"/>
  <c r="AF1" i="46"/>
  <c r="AG2" i="46"/>
  <c r="AD27" i="46" l="1"/>
  <c r="AE28" i="46"/>
  <c r="AF3" i="46"/>
  <c r="AF6" i="46"/>
  <c r="AE18" i="46"/>
  <c r="AF8" i="46"/>
  <c r="AF16" i="46"/>
  <c r="AF14" i="46"/>
  <c r="AD18" i="46"/>
  <c r="AF22" i="46"/>
  <c r="AG1" i="46"/>
  <c r="AH2" i="46"/>
  <c r="AF5" i="46" l="1"/>
  <c r="AF23" i="46" a="1"/>
  <c r="AF23" i="46" s="1"/>
  <c r="AF25" i="46" a="1"/>
  <c r="AF25" i="46" s="1"/>
  <c r="AF26" i="46" a="1"/>
  <c r="AF26" i="46" s="1"/>
  <c r="AF24" i="46" a="1"/>
  <c r="AF24" i="46" s="1"/>
  <c r="AG3" i="46"/>
  <c r="AG12" i="46"/>
  <c r="AG8" i="46"/>
  <c r="AG16" i="46"/>
  <c r="AG14" i="46"/>
  <c r="AH1" i="46"/>
  <c r="AH3" i="46" s="1"/>
  <c r="AG22" i="46"/>
  <c r="AI2" i="46"/>
  <c r="AF28" i="46" l="1"/>
  <c r="AF27" i="46"/>
  <c r="AG5" i="46"/>
  <c r="AG23" i="46" a="1"/>
  <c r="AG23" i="46" s="1"/>
  <c r="AG24" i="46" a="1"/>
  <c r="AG24" i="46" s="1"/>
  <c r="AG25" i="46" a="1"/>
  <c r="AG25" i="46" s="1"/>
  <c r="AG26" i="46" a="1"/>
  <c r="AG26" i="46" s="1"/>
  <c r="AH5" i="46"/>
  <c r="AH10" i="46"/>
  <c r="AH22" i="46"/>
  <c r="AI1" i="46"/>
  <c r="AJ2" i="46"/>
  <c r="AG28" i="46" l="1"/>
  <c r="AG27" i="46"/>
  <c r="AH26" i="46" a="1"/>
  <c r="AH26" i="46" s="1"/>
  <c r="AH25" i="46" a="1"/>
  <c r="AH25" i="46" s="1"/>
  <c r="AH24" i="46" a="1"/>
  <c r="AH24" i="46" s="1"/>
  <c r="AH23" i="46" a="1"/>
  <c r="AH23" i="46" s="1"/>
  <c r="AH27" i="46" s="1"/>
  <c r="AI3" i="46"/>
  <c r="AI6" i="46"/>
  <c r="AI16" i="46"/>
  <c r="AI14" i="46"/>
  <c r="AI10" i="46"/>
  <c r="AG18" i="46"/>
  <c r="AI22" i="46"/>
  <c r="AJ1" i="46"/>
  <c r="AK2" i="46"/>
  <c r="AH28" i="46" l="1"/>
  <c r="AI5" i="46"/>
  <c r="AI23" i="46" a="1"/>
  <c r="AI23" i="46" s="1"/>
  <c r="AI27" i="46" s="1"/>
  <c r="AI25" i="46" a="1"/>
  <c r="AI25" i="46" s="1"/>
  <c r="AI26" i="46" a="1"/>
  <c r="AI26" i="46" s="1"/>
  <c r="AI24" i="46" a="1"/>
  <c r="AI24" i="46" s="1"/>
  <c r="E10" i="46" a="1"/>
  <c r="E10" i="46" s="1"/>
  <c r="AJ3" i="46"/>
  <c r="AJ12" i="46"/>
  <c r="AJ6" i="46"/>
  <c r="AH18" i="46"/>
  <c r="AJ22" i="46"/>
  <c r="AK1" i="46"/>
  <c r="AK12" i="46" s="1"/>
  <c r="AI28" i="46" l="1"/>
  <c r="AJ5" i="46"/>
  <c r="AJ23" i="46" a="1"/>
  <c r="AJ23" i="46" s="1"/>
  <c r="AJ24" i="46" a="1"/>
  <c r="AJ24" i="46" s="1"/>
  <c r="AJ25" i="46" a="1"/>
  <c r="AJ25" i="46" s="1"/>
  <c r="AJ26" i="46" a="1"/>
  <c r="AJ26" i="46" s="1"/>
  <c r="AK3" i="46"/>
  <c r="AK8" i="46"/>
  <c r="AK6" i="46"/>
  <c r="AK16" i="46"/>
  <c r="AK14" i="46"/>
  <c r="AK22" i="46"/>
  <c r="AJ27" i="46" l="1"/>
  <c r="AJ28" i="46"/>
  <c r="AK5" i="46"/>
  <c r="AK23" i="46" a="1"/>
  <c r="AK23" i="46" s="1"/>
  <c r="AK25" i="46" a="1"/>
  <c r="AK25" i="46" s="1"/>
  <c r="AK26" i="46" a="1"/>
  <c r="AK26" i="46" s="1"/>
  <c r="AK24" i="46" a="1"/>
  <c r="AK24" i="46" s="1"/>
  <c r="AJ18" i="46"/>
  <c r="AK27" i="46" l="1"/>
  <c r="AK28" i="46"/>
  <c r="AK18" i="46"/>
  <c r="H12" i="46" l="1" a="1"/>
  <c r="H12" i="46" s="1"/>
  <c r="G12" i="46" s="1" a="1"/>
  <c r="G12" i="46" s="1"/>
  <c r="H3" i="46" a="1"/>
  <c r="H3" i="46" s="1"/>
  <c r="G3" i="46" s="1" a="1"/>
  <c r="G3" i="46" s="1"/>
  <c r="E8" i="46" a="1"/>
  <c r="E8" i="46" s="1"/>
  <c r="I12" i="46" a="1"/>
  <c r="I12" i="46" s="1"/>
  <c r="E12" i="46" a="1"/>
  <c r="E12" i="46" s="1"/>
  <c r="F12" i="46" a="1"/>
  <c r="F12" i="46" s="1"/>
  <c r="H16" i="46" l="1" a="1"/>
  <c r="H16" i="46" s="1"/>
  <c r="G16" i="46" s="1" a="1"/>
  <c r="G16" i="46" s="1"/>
  <c r="I10" i="46" a="1"/>
  <c r="I10" i="46" s="1"/>
  <c r="H10" i="46" a="1"/>
  <c r="H10" i="46" s="1"/>
  <c r="G10" i="46" s="1" a="1"/>
  <c r="G10" i="46" s="1"/>
  <c r="H6" i="46" a="1"/>
  <c r="H6" i="46" s="1"/>
  <c r="G6" i="46" s="1" a="1"/>
  <c r="G6" i="46" s="1"/>
  <c r="F6" i="46" a="1"/>
  <c r="F6" i="46" s="1"/>
  <c r="H8" i="46" a="1"/>
  <c r="H8" i="46" s="1"/>
  <c r="G8" i="46" s="1" a="1"/>
  <c r="G8" i="46" s="1"/>
  <c r="H14" i="46" a="1"/>
  <c r="H14" i="46" s="1"/>
  <c r="G14" i="46" s="1" a="1"/>
  <c r="G14" i="46" s="1"/>
  <c r="F8" i="46" a="1"/>
  <c r="F8" i="46" s="1"/>
  <c r="F14" i="46" a="1"/>
  <c r="F14" i="46" s="1"/>
  <c r="I16" i="46" a="1"/>
  <c r="I16" i="46" s="1"/>
  <c r="I6" i="46" a="1"/>
  <c r="I6" i="46" s="1"/>
  <c r="F16" i="46" a="1"/>
  <c r="F16" i="46" s="1"/>
  <c r="E3" i="46" a="1"/>
  <c r="E3" i="46" s="1"/>
  <c r="E6" i="46" a="1"/>
  <c r="E6" i="46" s="1"/>
  <c r="F10" i="46" a="1"/>
  <c r="F10" i="46" s="1"/>
  <c r="I8" i="46" a="1"/>
  <c r="I8" i="46" s="1"/>
  <c r="E16" i="46" a="1"/>
  <c r="E16" i="46" s="1"/>
  <c r="F3" i="46" a="1"/>
  <c r="F3" i="46" s="1"/>
  <c r="I3" i="46" a="1"/>
  <c r="I3" i="46" s="1"/>
  <c r="I14" i="46" a="1"/>
  <c r="I14" i="46" s="1"/>
  <c r="E14" i="46" a="1"/>
  <c r="E14" i="46" s="1"/>
  <c r="Q8" i="26" l="1"/>
  <c r="Q6" i="26"/>
  <c r="D8" i="26"/>
  <c r="D2" i="26"/>
  <c r="D4" i="26"/>
  <c r="D5" i="26"/>
  <c r="D7" i="26"/>
  <c r="D9" i="26"/>
  <c r="D6" i="26"/>
  <c r="T6" i="26" l="1"/>
  <c r="S6" i="26" s="1"/>
  <c r="T8" i="26"/>
  <c r="S8" i="26" s="1"/>
  <c r="R6" i="26" l="1"/>
  <c r="R8" i="26"/>
  <c r="Q9" i="26" l="1"/>
  <c r="T9" i="26" s="1"/>
  <c r="Q2" i="26"/>
  <c r="T2" i="26" s="1"/>
  <c r="Q4" i="26"/>
  <c r="T4" i="26" s="1"/>
  <c r="Q5" i="26"/>
  <c r="T5" i="26" s="1"/>
  <c r="R5" i="26" s="1"/>
  <c r="Q7" i="26"/>
  <c r="T7" i="26" s="1"/>
  <c r="S2" i="26" l="1"/>
  <c r="R2" i="26"/>
  <c r="S7" i="26"/>
  <c r="R7" i="26"/>
  <c r="R4" i="26"/>
  <c r="S4" i="26"/>
  <c r="R9" i="26"/>
  <c r="S9" i="26"/>
  <c r="S5" i="26"/>
  <c r="C4" i="47"/>
  <c r="C3" i="47" s="1"/>
  <c r="D4" i="47" l="1"/>
  <c r="D3" i="47" l="1"/>
  <c r="E4" i="47"/>
  <c r="F4" i="47" l="1"/>
  <c r="E3" i="47"/>
  <c r="G4" i="47" l="1"/>
  <c r="F3" i="47"/>
  <c r="H4" i="47" l="1"/>
  <c r="G3" i="47"/>
  <c r="H3" i="47" l="1"/>
  <c r="I4" i="47"/>
  <c r="I3" i="47" l="1"/>
  <c r="J4" i="47"/>
  <c r="J3" i="47" l="1"/>
  <c r="K4" i="47"/>
  <c r="L4" i="47" l="1"/>
  <c r="K3" i="47"/>
  <c r="M4" i="47" l="1"/>
  <c r="L3" i="47"/>
  <c r="N4" i="47" l="1"/>
  <c r="M3" i="47"/>
  <c r="N3" i="47" l="1"/>
  <c r="O4" i="47"/>
  <c r="O3" i="47" l="1"/>
  <c r="P4" i="47"/>
  <c r="Q4" i="47" l="1"/>
  <c r="R4" i="47" s="1"/>
  <c r="P3" i="47"/>
  <c r="R3" i="47" l="1"/>
  <c r="S4" i="47"/>
  <c r="Q3" i="47"/>
  <c r="S3" i="47" l="1"/>
  <c r="T4" i="47"/>
  <c r="T3" i="47" l="1"/>
  <c r="U4" i="47"/>
  <c r="U3" i="47" l="1"/>
  <c r="V4" i="47"/>
  <c r="V3" i="47" l="1"/>
  <c r="W4" i="47"/>
  <c r="X4" i="47" l="1"/>
  <c r="W3" i="47"/>
  <c r="X3" i="47" l="1"/>
  <c r="Y4" i="47"/>
  <c r="Z4" i="47" l="1"/>
  <c r="Y3" i="47"/>
  <c r="AA4" i="47" l="1"/>
  <c r="Z3" i="47"/>
  <c r="AB4" i="47" l="1"/>
  <c r="AA3" i="47"/>
  <c r="AC4" i="47" l="1"/>
  <c r="AB3" i="47"/>
  <c r="AC3" i="47" l="1"/>
  <c r="AD4" i="47"/>
  <c r="AE4" i="47" l="1"/>
  <c r="AD3" i="47"/>
  <c r="AE3" i="47" l="1"/>
  <c r="AF4" i="47"/>
  <c r="AF3" i="4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<sst xmlns="http://schemas.openxmlformats.org/spreadsheetml/2006/main" count="279" uniqueCount="119">
  <si>
    <t>February</t>
  </si>
  <si>
    <t>休假</t>
  </si>
  <si>
    <t>用餐</t>
    <phoneticPr fontId="8" type="noConversion"/>
  </si>
  <si>
    <t>工作日</t>
  </si>
  <si>
    <t>OFF</t>
  </si>
  <si>
    <t>PTO</t>
  </si>
  <si>
    <t>PTO-AL</t>
    <phoneticPr fontId="8" type="noConversion"/>
  </si>
  <si>
    <t>LOA</t>
    <phoneticPr fontId="8" type="noConversion"/>
  </si>
  <si>
    <t>Jacky Lee</t>
  </si>
  <si>
    <t>00:00 - 09:00</t>
    <phoneticPr fontId="8" type="noConversion"/>
  </si>
  <si>
    <t>六日</t>
    <phoneticPr fontId="8" type="noConversion"/>
  </si>
  <si>
    <t>OFF</t>
    <phoneticPr fontId="8" type="noConversion"/>
  </si>
  <si>
    <t>OT</t>
  </si>
  <si>
    <t xml:space="preserve">建議可落入PTO數量   </t>
  </si>
  <si>
    <t>Amber Wang</t>
  </si>
  <si>
    <t>09:00-18:00</t>
    <phoneticPr fontId="8" type="noConversion"/>
  </si>
  <si>
    <t>三四</t>
    <phoneticPr fontId="8" type="noConversion"/>
  </si>
  <si>
    <t>13:00
14:00</t>
    <phoneticPr fontId="8" type="noConversion"/>
  </si>
  <si>
    <t>09:00</t>
    <phoneticPr fontId="8" type="noConversion"/>
  </si>
  <si>
    <t>12:00</t>
    <phoneticPr fontId="8" type="noConversion"/>
  </si>
  <si>
    <t>OT18-19</t>
    <phoneticPr fontId="8" type="noConversion"/>
  </si>
  <si>
    <t>Rex Liao</t>
  </si>
  <si>
    <t>五六</t>
    <phoneticPr fontId="8" type="noConversion"/>
  </si>
  <si>
    <t>Jian Kai Ding</t>
  </si>
  <si>
    <t>PTO</t>
    <phoneticPr fontId="8" type="noConversion"/>
  </si>
  <si>
    <t>Howard Chen</t>
  </si>
  <si>
    <t>15:00 - 00:00</t>
  </si>
  <si>
    <t>一二</t>
    <phoneticPr fontId="8" type="noConversion"/>
  </si>
  <si>
    <t>18:00
19:00</t>
  </si>
  <si>
    <t>OT14-15</t>
    <phoneticPr fontId="8" type="noConversion"/>
  </si>
  <si>
    <t>Alex Chen</t>
  </si>
  <si>
    <t>15:00</t>
    <phoneticPr fontId="8" type="noConversion"/>
  </si>
  <si>
    <t>Evan Liu</t>
  </si>
  <si>
    <t>Sherry Lin</t>
  </si>
  <si>
    <t>09:00-18:00</t>
  </si>
  <si>
    <t>日一</t>
  </si>
  <si>
    <t>SL</t>
  </si>
  <si>
    <t>Molly Song</t>
  </si>
  <si>
    <t>12:00 - 21:00</t>
  </si>
  <si>
    <t>假日</t>
  </si>
  <si>
    <t>TCS、rma休息</t>
    <phoneticPr fontId="8" type="noConversion"/>
  </si>
  <si>
    <t>rma休息</t>
    <phoneticPr fontId="8" type="noConversion"/>
  </si>
  <si>
    <t>SUM</t>
    <phoneticPr fontId="8" type="noConversion"/>
  </si>
  <si>
    <t>日班</t>
    <phoneticPr fontId="8" type="noConversion"/>
  </si>
  <si>
    <t>List</t>
    <phoneticPr fontId="8" type="noConversion"/>
  </si>
  <si>
    <t>00:00</t>
    <phoneticPr fontId="8" type="noConversion"/>
  </si>
  <si>
    <t>January</t>
    <phoneticPr fontId="8" type="noConversion"/>
  </si>
  <si>
    <t>Alex Chen</t>
    <phoneticPr fontId="8" type="noConversion"/>
  </si>
  <si>
    <t>09:00</t>
    <phoneticPr fontId="0" type="noConversion"/>
  </si>
  <si>
    <t>Alex</t>
    <phoneticPr fontId="8" type="noConversion"/>
  </si>
  <si>
    <t>Amber Wang</t>
    <phoneticPr fontId="8" type="noConversion"/>
  </si>
  <si>
    <t>12:00</t>
    <phoneticPr fontId="0" type="noConversion"/>
  </si>
  <si>
    <t>March</t>
    <phoneticPr fontId="0" type="noConversion"/>
  </si>
  <si>
    <t>Amber</t>
    <phoneticPr fontId="8" type="noConversion"/>
  </si>
  <si>
    <t>Evan Liu</t>
    <phoneticPr fontId="8" type="noConversion"/>
  </si>
  <si>
    <t>15:00</t>
  </si>
  <si>
    <t>April</t>
  </si>
  <si>
    <t>Evan</t>
    <phoneticPr fontId="8" type="noConversion"/>
  </si>
  <si>
    <t>Howard Chen</t>
    <phoneticPr fontId="8" type="noConversion"/>
  </si>
  <si>
    <t>May</t>
    <phoneticPr fontId="8" type="noConversion"/>
  </si>
  <si>
    <t>Howard</t>
    <phoneticPr fontId="8" type="noConversion"/>
  </si>
  <si>
    <t>Jacky Lee</t>
    <phoneticPr fontId="8" type="noConversion"/>
  </si>
  <si>
    <t>June</t>
    <phoneticPr fontId="8" type="noConversion"/>
  </si>
  <si>
    <t>Jacky</t>
    <phoneticPr fontId="8" type="noConversion"/>
  </si>
  <si>
    <t>Jian Kai Ding</t>
    <phoneticPr fontId="8" type="noConversion"/>
  </si>
  <si>
    <t>上特</t>
    <phoneticPr fontId="8" type="noConversion"/>
  </si>
  <si>
    <t>July</t>
  </si>
  <si>
    <t>Kai</t>
    <phoneticPr fontId="8" type="noConversion"/>
  </si>
  <si>
    <t>Rex Liao</t>
    <phoneticPr fontId="8" type="noConversion"/>
  </si>
  <si>
    <t>下特</t>
    <phoneticPr fontId="8" type="noConversion"/>
  </si>
  <si>
    <t>August</t>
    <phoneticPr fontId="8" type="noConversion"/>
  </si>
  <si>
    <t>Rex</t>
    <phoneticPr fontId="8" type="noConversion"/>
  </si>
  <si>
    <t>Sherry Lin</t>
    <phoneticPr fontId="8" type="noConversion"/>
  </si>
  <si>
    <t>September</t>
    <phoneticPr fontId="8" type="noConversion"/>
  </si>
  <si>
    <t>Molly Song</t>
    <phoneticPr fontId="8" type="noConversion"/>
  </si>
  <si>
    <t>October</t>
    <phoneticPr fontId="8" type="noConversion"/>
  </si>
  <si>
    <t>November</t>
  </si>
  <si>
    <t>December</t>
  </si>
  <si>
    <t>Half-PTO/PTO-Half</t>
    <phoneticPr fontId="8" type="noConversion"/>
  </si>
  <si>
    <t>Half-AL/AL-Half</t>
  </si>
  <si>
    <r>
      <t>【長假申請彙整說明】
1.若同仁已於「班表相關申請表單」填寫長假申請表，該日期將以黃色標示。
2.因應營運需求及人力安排，每日長假申請人數以一人為限，並依申請表單之填寫時間先後為準。</t>
    </r>
    <r>
      <rPr>
        <b/>
        <sz val="16"/>
        <color theme="1"/>
        <rFont val="Arial"/>
        <family val="2"/>
      </rPr>
      <t xml:space="preserve">
3.</t>
    </r>
    <r>
      <rPr>
        <b/>
        <sz val="16"/>
        <color theme="1"/>
        <rFont val="Noto Sans TC Medium"/>
        <family val="2"/>
        <charset val="136"/>
      </rPr>
      <t>彙整表預計每兩週更新一次，請同仁於提出長假申請前，務必先行查閱本表單內容。</t>
    </r>
    <phoneticPr fontId="8" type="noConversion"/>
  </si>
  <si>
    <t>2026年</t>
    <phoneticPr fontId="8" type="noConversion"/>
  </si>
  <si>
    <t>January</t>
  </si>
  <si>
    <t>March</t>
  </si>
  <si>
    <t>May</t>
  </si>
  <si>
    <t>June</t>
  </si>
  <si>
    <t>August</t>
  </si>
  <si>
    <t>September</t>
  </si>
  <si>
    <t>October</t>
  </si>
  <si>
    <t xml:space="preserve">English Name </t>
  </si>
  <si>
    <t>TTL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</si>
  <si>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</si>
  <si>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</si>
  <si>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</si>
  <si>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</si>
  <si>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</si>
  <si>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</si>
  <si>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</si>
  <si>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</si>
  <si>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</si>
  <si>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</si>
  <si>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</si>
  <si>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已休</t>
    <phoneticPr fontId="8" type="noConversion"/>
  </si>
  <si>
    <t>未休</t>
    <phoneticPr fontId="1" type="noConversion"/>
  </si>
  <si>
    <t>Kai Din</t>
  </si>
  <si>
    <t>法定特休天數</t>
    <phoneticPr fontId="8" type="noConversion"/>
  </si>
  <si>
    <t>亞勝假期</t>
    <phoneticPr fontId="8" type="noConversion"/>
  </si>
  <si>
    <t>*若對於個人的特休天數有疑問，請填寫「各部門問題/建議回報表」諮詢HR。</t>
    <phoneticPr fontId="8" type="noConversion"/>
  </si>
  <si>
    <t>New Year’s Day</t>
  </si>
  <si>
    <t>TW Chinese New Year</t>
  </si>
  <si>
    <t>TW Peace Memorial Day (Observed on Feb 27th)</t>
  </si>
  <si>
    <t>TW Children's Day &amp; Tomb Sweeping Day</t>
  </si>
  <si>
    <t>TW Labor's Day</t>
  </si>
  <si>
    <t xml:space="preserve"> TW Dragon Boat Festival</t>
  </si>
  <si>
    <t>TW Moon Festival</t>
  </si>
  <si>
    <t>TW Teacher's Day</t>
  </si>
  <si>
    <t>National Day (Observed on Oct 9th)</t>
  </si>
  <si>
    <t xml:space="preserve"> TW Retrocession Day (Observed on Oct 26th)</t>
  </si>
  <si>
    <t>TW Constitution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</si>
</sst>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yyyy/mm/dd"/>
    <numFmt numFmtId="166" formatCode="0_);[Red]\(0\)"/>
    <numFmt numFmtId="167" formatCode="#,##0;\-#,##0;"/>
  </numFmts>
  <fonts count="31">
    <font>
      <sz val="11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8"/>
      <color theme="1"/>
      <name val="Calibri"/>
      <family val="2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Noto Sans TC Medium"/>
      <family val="2"/>
      <charset val="136"/>
    </font>
    <font>
      <sz val="10"/>
      <color rgb="FF000000"/>
      <name val="Noto Sans TC Medium"/>
      <family val="2"/>
      <charset val="136"/>
    </font>
    <font>
      <sz val="8"/>
      <color theme="1"/>
      <name val="Noto Sans TC Medium"/>
      <family val="2"/>
      <charset val="136"/>
    </font>
    <font>
      <b/>
      <sz val="10"/>
      <color rgb="FF000000"/>
      <name val="Noto Sans TC Medium"/>
      <family val="2"/>
      <charset val="136"/>
    </font>
    <font>
      <b/>
      <sz val="8"/>
      <color theme="1"/>
      <name val="Noto Sans TC Medium"/>
      <family val="2"/>
      <charset val="136"/>
    </font>
    <font>
      <sz val="8"/>
      <color rgb="FF000000"/>
      <name val="Noto Sans TC Medium"/>
      <family val="2"/>
      <charset val="136"/>
    </font>
    <font>
      <b/>
      <sz val="8"/>
      <color rgb="FF000000"/>
      <name val="Noto Sans TC Medium"/>
      <family val="2"/>
      <charset val="136"/>
    </font>
    <font>
      <sz val="10"/>
      <color theme="1"/>
      <name val="Noto Sans TC Medium"/>
      <family val="2"/>
      <charset val="136"/>
    </font>
    <font>
      <sz val="12"/>
      <color rgb="FF000000"/>
      <name val="Noto Sans TC Medium"/>
      <family val="2"/>
      <charset val="136"/>
    </font>
    <font>
      <sz val="11"/>
      <color rgb="FF000000"/>
      <name val="Noto Sans TC Medium"/>
      <family val="2"/>
      <charset val="136"/>
    </font>
    <font>
      <sz val="9"/>
      <color theme="1"/>
      <name val="微軟正黑體"/>
      <family val="2"/>
      <charset val="136"/>
    </font>
    <font>
      <sz val="11"/>
      <color theme="1"/>
      <name val="新細明體"/>
      <family val="2"/>
      <charset val="136"/>
      <scheme val="minor"/>
    </font>
    <font>
      <sz val="8"/>
      <color rgb="FFC00000"/>
      <name val="Noto Sans TC Medium"/>
      <family val="2"/>
      <charset val="136"/>
    </font>
    <font>
      <b/>
      <sz val="16"/>
      <color theme="1"/>
      <name val="Noto Sans TC Medium"/>
      <family val="2"/>
      <charset val="136"/>
    </font>
    <font>
      <b/>
      <sz val="16"/>
      <color theme="1"/>
      <name val="Arial"/>
      <family val="2"/>
    </font>
    <font>
      <sz val="9"/>
      <color rgb="FF000000"/>
      <name val="Noto Sans TC Medium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DEDED"/>
        <bgColor rgb="FF000000"/>
      </patternFill>
    </fill>
    <fill>
      <patternFill patternType="solid">
        <fgColor rgb="FFEAEAE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AEAEA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theme="5" tint="0.59999389629810485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9" fillId="0" borderId="0"/>
    <xf numFmtId="0" fontId="7" fillId="0" borderId="0"/>
    <xf numFmtId="0" fontId="6" fillId="0" borderId="0"/>
    <xf numFmtId="0" fontId="1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6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1" fillId="0" borderId="0" xfId="8" applyFont="1" applyAlignment="1">
      <alignment horizontal="center" vertical="center"/>
    </xf>
    <xf numFmtId="0" fontId="15" fillId="0" borderId="0" xfId="0" applyFo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9" fillId="7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1" applyFont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37" fontId="19" fillId="7" borderId="1" xfId="0" applyNumberFormat="1" applyFont="1" applyFill="1" applyBorder="1" applyAlignment="1">
      <alignment horizontal="center" vertical="center"/>
    </xf>
    <xf numFmtId="49" fontId="17" fillId="2" borderId="1" xfId="1" applyNumberFormat="1" applyFont="1" applyFill="1" applyBorder="1" applyAlignment="1">
      <alignment horizontal="center" vertical="center"/>
    </xf>
    <xf numFmtId="165" fontId="15" fillId="0" borderId="0" xfId="0" applyNumberFormat="1" applyFont="1">
      <alignment vertical="center"/>
    </xf>
    <xf numFmtId="0" fontId="16" fillId="13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37" fontId="19" fillId="18" borderId="1" xfId="0" applyNumberFormat="1" applyFont="1" applyFill="1" applyBorder="1" applyAlignment="1">
      <alignment horizontal="center" vertical="center"/>
    </xf>
    <xf numFmtId="164" fontId="19" fillId="18" borderId="1" xfId="0" applyNumberFormat="1" applyFont="1" applyFill="1" applyBorder="1" applyAlignment="1">
      <alignment horizontal="center" vertical="center"/>
    </xf>
    <xf numFmtId="37" fontId="19" fillId="9" borderId="1" xfId="0" applyNumberFormat="1" applyFont="1" applyFill="1" applyBorder="1" applyAlignment="1">
      <alignment horizontal="center" vertical="center"/>
    </xf>
    <xf numFmtId="164" fontId="19" fillId="9" borderId="1" xfId="0" applyNumberFormat="1" applyFont="1" applyFill="1" applyBorder="1" applyAlignment="1">
      <alignment horizontal="center" vertical="center"/>
    </xf>
    <xf numFmtId="0" fontId="15" fillId="19" borderId="0" xfId="0" applyFont="1" applyFill="1">
      <alignment vertical="center"/>
    </xf>
    <xf numFmtId="49" fontId="17" fillId="11" borderId="1" xfId="1" applyNumberFormat="1" applyFont="1" applyFill="1" applyBorder="1" applyAlignment="1">
      <alignment horizontal="center" vertical="center"/>
    </xf>
    <xf numFmtId="166" fontId="21" fillId="10" borderId="1" xfId="0" applyNumberFormat="1" applyFont="1" applyFill="1" applyBorder="1" applyAlignment="1">
      <alignment horizontal="center" vertical="center"/>
    </xf>
    <xf numFmtId="0" fontId="28" fillId="0" borderId="5" xfId="0" applyFont="1" applyBorder="1" applyAlignment="1">
      <alignment horizontal="left" vertical="center" wrapText="1"/>
    </xf>
    <xf numFmtId="0" fontId="17" fillId="2" borderId="1" xfId="1" applyFont="1" applyFill="1" applyBorder="1" applyAlignment="1">
      <alignment horizontal="center" vertical="center" wrapText="1"/>
    </xf>
    <xf numFmtId="37" fontId="19" fillId="22" borderId="1" xfId="0" applyNumberFormat="1" applyFont="1" applyFill="1" applyBorder="1" applyAlignment="1">
      <alignment horizontal="center" vertical="center"/>
    </xf>
    <xf numFmtId="164" fontId="19" fillId="22" borderId="1" xfId="0" applyNumberFormat="1" applyFont="1" applyFill="1" applyBorder="1" applyAlignment="1">
      <alignment horizontal="center" vertical="center"/>
    </xf>
    <xf numFmtId="0" fontId="27" fillId="2" borderId="1" xfId="1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center" vertical="center"/>
    </xf>
    <xf numFmtId="0" fontId="30" fillId="24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 wrapText="1"/>
    </xf>
    <xf numFmtId="0" fontId="20" fillId="25" borderId="1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49" fontId="27" fillId="2" borderId="1" xfId="1" applyNumberFormat="1" applyFont="1" applyFill="1" applyBorder="1" applyAlignment="1">
      <alignment horizontal="center" vertical="center"/>
    </xf>
    <xf numFmtId="0" fontId="18" fillId="7" borderId="1" xfId="0" applyFont="1" applyFill="1" applyBorder="1">
      <alignment vertical="center"/>
    </xf>
    <xf numFmtId="49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167" fontId="20" fillId="7" borderId="1" xfId="0" applyNumberFormat="1" applyFont="1" applyFill="1" applyBorder="1" applyAlignment="1">
      <alignment horizontal="center" vertical="center"/>
    </xf>
    <xf numFmtId="20" fontId="22" fillId="0" borderId="8" xfId="1" applyNumberFormat="1" applyFont="1" applyBorder="1" applyAlignment="1">
      <alignment horizontal="center" vertical="center"/>
    </xf>
    <xf numFmtId="20" fontId="22" fillId="0" borderId="9" xfId="1" applyNumberFormat="1" applyFont="1" applyBorder="1" applyAlignment="1">
      <alignment horizontal="center" vertical="center"/>
    </xf>
    <xf numFmtId="20" fontId="22" fillId="0" borderId="10" xfId="1" applyNumberFormat="1" applyFont="1" applyBorder="1" applyAlignment="1">
      <alignment horizontal="center" vertical="center"/>
    </xf>
    <xf numFmtId="0" fontId="22" fillId="3" borderId="6" xfId="1" applyFont="1" applyFill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22" fillId="3" borderId="7" xfId="1" applyFont="1" applyFill="1" applyBorder="1" applyAlignment="1">
      <alignment horizontal="center" vertical="center"/>
    </xf>
    <xf numFmtId="0" fontId="17" fillId="3" borderId="7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0" fontId="17" fillId="11" borderId="1" xfId="1" applyFont="1" applyFill="1" applyBorder="1" applyAlignment="1">
      <alignment horizontal="center" vertical="center"/>
    </xf>
    <xf numFmtId="0" fontId="27" fillId="2" borderId="1" xfId="1" applyFont="1" applyFill="1" applyBorder="1" applyAlignment="1">
      <alignment horizontal="center" vertical="center"/>
    </xf>
    <xf numFmtId="0" fontId="16" fillId="27" borderId="1" xfId="0" applyFont="1" applyFill="1" applyBorder="1" applyAlignment="1">
      <alignment horizontal="center" vertical="center" wrapText="1"/>
    </xf>
    <xf numFmtId="49" fontId="20" fillId="24" borderId="1" xfId="0" applyNumberFormat="1" applyFont="1" applyFill="1" applyBorder="1" applyAlignment="1">
      <alignment horizontal="center" vertical="center"/>
    </xf>
    <xf numFmtId="49" fontId="20" fillId="26" borderId="1" xfId="0" applyNumberFormat="1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7" fillId="23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right" vertical="center"/>
    </xf>
    <xf numFmtId="0" fontId="18" fillId="5" borderId="1" xfId="0" applyFont="1" applyFill="1" applyBorder="1" applyAlignment="1">
      <alignment horizontal="center" vertical="center" wrapText="1"/>
    </xf>
    <xf numFmtId="0" fontId="20" fillId="24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20" fontId="16" fillId="12" borderId="1" xfId="0" applyNumberFormat="1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20" fontId="16" fillId="15" borderId="1" xfId="0" applyNumberFormat="1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6" fillId="20" borderId="3" xfId="0" applyFont="1" applyFill="1" applyBorder="1" applyAlignment="1">
      <alignment horizontal="left" vertical="center" indent="3"/>
    </xf>
    <xf numFmtId="0" fontId="16" fillId="20" borderId="2" xfId="0" applyFont="1" applyFill="1" applyBorder="1" applyAlignment="1">
      <alignment horizontal="left" vertical="center" indent="3"/>
    </xf>
    <xf numFmtId="0" fontId="16" fillId="20" borderId="3" xfId="0" applyFont="1" applyFill="1" applyBorder="1" applyAlignment="1">
      <alignment horizontal="center" vertical="center"/>
    </xf>
    <xf numFmtId="0" fontId="16" fillId="20" borderId="2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28" fillId="21" borderId="0" xfId="0" applyFont="1" applyFill="1" applyAlignment="1">
      <alignment horizontal="left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10">
    <cellStyle name="Normal 2" xfId="1" xr:uid="{3CCB9BBF-5692-49AD-A3CB-2171C8E1F363}"/>
    <cellStyle name="Normal 2 2" xfId="4" xr:uid="{AF7A5BA6-CE37-452A-80EC-0BE0B8AB4A17}"/>
    <cellStyle name="Normal 2 2 2" xfId="5" xr:uid="{1636AB6D-E7DD-4DE7-BC72-B3B6FCD4D901}"/>
    <cellStyle name="Normal 2 2 2 2" xfId="6" xr:uid="{C76CFF4B-877D-4F53-82EB-A6EEAF84BCC4}"/>
    <cellStyle name="Normal 2 2 2 2 2" xfId="7" xr:uid="{C028246D-B985-4536-A201-C04426660E8F}"/>
    <cellStyle name="Normal 2 2 2 2 2 2" xfId="8" xr:uid="{238E2A76-CDFE-419F-948C-439AB31C7603}"/>
    <cellStyle name="Normal 3" xfId="2" xr:uid="{2DB6709B-CA69-43E5-A1BD-79DACEA418B3}"/>
    <cellStyle name="Normal 3 2" xfId="3" xr:uid="{4A35BDCF-4FA7-4064-95F6-468E60DBCBCB}"/>
    <cellStyle name="一般" xfId="0" builtinId="0"/>
    <cellStyle name="百分比 2" xfId="9" xr:uid="{86CE883C-CECA-4EC1-A1B8-A31112B5DD5E}"/>
  </cellStyles>
  <dxfs count="29">
    <dxf>
      <font>
        <b/>
        <i val="0"/>
        <color rgb="FFC0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C00000"/>
      </font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CCFFFF"/>
      <color rgb="FFFF99CC"/>
      <color rgb="FFCC99FF"/>
      <color rgb="FFE2EFDA"/>
      <color rgb="FFCAB1FA"/>
      <color rgb="FFAA72D4"/>
      <color rgb="FFB4C6E7"/>
      <color rgb="FFCCCCFF"/>
      <color rgb="FFFFF2CC"/>
      <color rgb="FFFF5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AD46-A8BB-407A-8EEE-636586077048}">
  <dimension ref="A1:AK28"/>
  <sheetViews>
    <sheetView tabSelected="1" zoomScale="90" zoomScaleNormal="90" workbookViewId="0">
      <pane xSplit="4" ySplit="2" topLeftCell="Q3" activePane="bottomRight" state="frozen"/>
      <selection pane="bottomRight" activeCell="AH20" sqref="AH20"/>
      <selection pane="bottomLeft" activeCell="A3" sqref="A3"/>
      <selection pane="topRight" activeCell="E1" sqref="E1"/>
    </sheetView>
  </sheetViews>
  <sheetFormatPr defaultColWidth="9.140625" defaultRowHeight="16.5" customHeight="1"/>
  <cols>
    <col min="1" max="1" width="14.85546875" style="12" bestFit="1" customWidth="1"/>
    <col min="2" max="2" width="14.140625" style="12" customWidth="1"/>
    <col min="3" max="3" width="8.28515625" style="12" customWidth="1"/>
    <col min="4" max="4" width="9" style="12" customWidth="1"/>
    <col min="5" max="5" width="7.5703125" style="12" customWidth="1"/>
    <col min="6" max="7" width="6.85546875" style="12" customWidth="1"/>
    <col min="8" max="8" width="3.5703125" style="12" customWidth="1"/>
    <col min="9" max="9" width="3.42578125" style="12" customWidth="1"/>
    <col min="10" max="13" width="9.140625" style="11" customWidth="1"/>
    <col min="14" max="16" width="9.140625" style="11"/>
    <col min="17" max="17" width="9.42578125" style="11" customWidth="1"/>
    <col min="18" max="36" width="9.140625" style="11"/>
    <col min="37" max="37" width="8.85546875" style="11" bestFit="1" customWidth="1"/>
    <col min="38" max="16384" width="9.140625" style="11"/>
  </cols>
  <sheetData>
    <row r="1" spans="1:37" ht="16.5" customHeight="1">
      <c r="A1" s="72">
        <v>2026</v>
      </c>
      <c r="B1" s="72" t="s">
        <v>0</v>
      </c>
      <c r="C1" s="72" t="s">
        <v>1</v>
      </c>
      <c r="D1" s="72" t="s">
        <v>2</v>
      </c>
      <c r="E1" s="72" t="s">
        <v>3</v>
      </c>
      <c r="F1" s="72" t="s">
        <v>4</v>
      </c>
      <c r="G1" s="72" t="s">
        <v>5</v>
      </c>
      <c r="H1" s="74" t="s">
        <v>6</v>
      </c>
      <c r="I1" s="72" t="s">
        <v>7</v>
      </c>
      <c r="J1" s="20" t="str">
        <f t="shared" ref="J1:AK1" si="0">TEXT(J2,"ddd")</f>
        <v>Sun</v>
      </c>
      <c r="K1" s="20" t="str">
        <f t="shared" si="0"/>
        <v>Mon</v>
      </c>
      <c r="L1" s="20" t="str">
        <f t="shared" si="0"/>
        <v>Tue</v>
      </c>
      <c r="M1" s="20" t="str">
        <f t="shared" si="0"/>
        <v>Wed</v>
      </c>
      <c r="N1" s="20" t="str">
        <f>TEXT(N2,"ddd")</f>
        <v>Thu</v>
      </c>
      <c r="O1" s="20" t="str">
        <f t="shared" si="0"/>
        <v>Fri</v>
      </c>
      <c r="P1" s="20" t="str">
        <f t="shared" si="0"/>
        <v>Sat</v>
      </c>
      <c r="Q1" s="20" t="str">
        <f t="shared" si="0"/>
        <v>Sun</v>
      </c>
      <c r="R1" s="20" t="str">
        <f t="shared" si="0"/>
        <v>Mon</v>
      </c>
      <c r="S1" s="20" t="str">
        <f t="shared" si="0"/>
        <v>Tue</v>
      </c>
      <c r="T1" s="20" t="str">
        <f t="shared" si="0"/>
        <v>Wed</v>
      </c>
      <c r="U1" s="20" t="str">
        <f t="shared" si="0"/>
        <v>Thu</v>
      </c>
      <c r="V1" s="20" t="str">
        <f t="shared" si="0"/>
        <v>Fri</v>
      </c>
      <c r="W1" s="20" t="str">
        <f t="shared" si="0"/>
        <v>Sat</v>
      </c>
      <c r="X1" s="20" t="str">
        <f t="shared" si="0"/>
        <v>Sun</v>
      </c>
      <c r="Y1" s="20" t="str">
        <f t="shared" si="0"/>
        <v>Mon</v>
      </c>
      <c r="Z1" s="20" t="str">
        <f t="shared" si="0"/>
        <v>Tue</v>
      </c>
      <c r="AA1" s="20" t="str">
        <f t="shared" si="0"/>
        <v>Wed</v>
      </c>
      <c r="AB1" s="20" t="str">
        <f t="shared" si="0"/>
        <v>Thu</v>
      </c>
      <c r="AC1" s="20" t="str">
        <f t="shared" si="0"/>
        <v>Fri</v>
      </c>
      <c r="AD1" s="20" t="str">
        <f t="shared" si="0"/>
        <v>Sat</v>
      </c>
      <c r="AE1" s="20" t="str">
        <f t="shared" si="0"/>
        <v>Sun</v>
      </c>
      <c r="AF1" s="20" t="str">
        <f t="shared" si="0"/>
        <v>Mon</v>
      </c>
      <c r="AG1" s="20" t="str">
        <f t="shared" si="0"/>
        <v>Tue</v>
      </c>
      <c r="AH1" s="20" t="str">
        <f t="shared" si="0"/>
        <v>Wed</v>
      </c>
      <c r="AI1" s="20" t="str">
        <f t="shared" si="0"/>
        <v>Thu</v>
      </c>
      <c r="AJ1" s="20" t="str">
        <f t="shared" si="0"/>
        <v>Fri</v>
      </c>
      <c r="AK1" s="20" t="str">
        <f t="shared" si="0"/>
        <v>Sat</v>
      </c>
    </row>
    <row r="2" spans="1:37" ht="16.5" customHeight="1">
      <c r="A2" s="72"/>
      <c r="B2" s="72"/>
      <c r="C2" s="72"/>
      <c r="D2" s="72"/>
      <c r="E2" s="72"/>
      <c r="F2" s="72"/>
      <c r="G2" s="72"/>
      <c r="H2" s="74"/>
      <c r="I2" s="72"/>
      <c r="J2" s="9">
        <f>DATE(A1, MONTH(DATEVALUE(B1 &amp; " 1")), 1)</f>
        <v>46054</v>
      </c>
      <c r="K2" s="9">
        <f t="shared" ref="K2:L2" si="1">J2 + 1</f>
        <v>46055</v>
      </c>
      <c r="L2" s="9">
        <f t="shared" si="1"/>
        <v>46056</v>
      </c>
      <c r="M2" s="9">
        <f t="shared" ref="M2" si="2">L2 + 1</f>
        <v>46057</v>
      </c>
      <c r="N2" s="9">
        <f t="shared" ref="N2" si="3">M2 + 1</f>
        <v>46058</v>
      </c>
      <c r="O2" s="9">
        <f t="shared" ref="O2" si="4">N2 + 1</f>
        <v>46059</v>
      </c>
      <c r="P2" s="9">
        <f t="shared" ref="P2" si="5">O2 + 1</f>
        <v>46060</v>
      </c>
      <c r="Q2" s="9">
        <f t="shared" ref="Q2" si="6">P2 + 1</f>
        <v>46061</v>
      </c>
      <c r="R2" s="9">
        <f t="shared" ref="R2" si="7">Q2 + 1</f>
        <v>46062</v>
      </c>
      <c r="S2" s="9">
        <f t="shared" ref="S2" si="8">R2 + 1</f>
        <v>46063</v>
      </c>
      <c r="T2" s="9">
        <f t="shared" ref="T2" si="9">S2 + 1</f>
        <v>46064</v>
      </c>
      <c r="U2" s="9">
        <f t="shared" ref="U2" si="10">T2 + 1</f>
        <v>46065</v>
      </c>
      <c r="V2" s="9">
        <f t="shared" ref="V2" si="11">U2 + 1</f>
        <v>46066</v>
      </c>
      <c r="W2" s="9">
        <f t="shared" ref="W2" si="12">V2 + 1</f>
        <v>46067</v>
      </c>
      <c r="X2" s="9">
        <f t="shared" ref="X2" si="13">W2 + 1</f>
        <v>46068</v>
      </c>
      <c r="Y2" s="9">
        <f t="shared" ref="Y2" si="14">X2 + 1</f>
        <v>46069</v>
      </c>
      <c r="Z2" s="9">
        <f t="shared" ref="Z2" si="15">Y2 + 1</f>
        <v>46070</v>
      </c>
      <c r="AA2" s="9">
        <f t="shared" ref="AA2" si="16">Z2 + 1</f>
        <v>46071</v>
      </c>
      <c r="AB2" s="9">
        <f t="shared" ref="AB2" si="17">AA2 + 1</f>
        <v>46072</v>
      </c>
      <c r="AC2" s="9">
        <f t="shared" ref="AC2:AD2" si="18">AB2 + 1</f>
        <v>46073</v>
      </c>
      <c r="AD2" s="9">
        <f t="shared" si="18"/>
        <v>46074</v>
      </c>
      <c r="AE2" s="9">
        <f t="shared" ref="AE2" si="19">AD2 + 1</f>
        <v>46075</v>
      </c>
      <c r="AF2" s="9">
        <f t="shared" ref="AF2" si="20">AE2 + 1</f>
        <v>46076</v>
      </c>
      <c r="AG2" s="9">
        <f t="shared" ref="AG2" si="21">AF2 + 1</f>
        <v>46077</v>
      </c>
      <c r="AH2" s="9">
        <f t="shared" ref="AH2" si="22">AG2 + 1</f>
        <v>46078</v>
      </c>
      <c r="AI2" s="9">
        <f t="shared" ref="AI2" si="23">AH2 + 1</f>
        <v>46079</v>
      </c>
      <c r="AJ2" s="9">
        <f t="shared" ref="AJ2" si="24">AI2 + 1</f>
        <v>46080</v>
      </c>
      <c r="AK2" s="9">
        <f t="shared" ref="AK2" si="25">AJ2 + 1</f>
        <v>46081</v>
      </c>
    </row>
    <row r="3" spans="1:37" ht="16.5" customHeight="1">
      <c r="A3" s="70" t="s">
        <v>8</v>
      </c>
      <c r="B3" s="70" t="s">
        <v>9</v>
      </c>
      <c r="C3" s="70" t="s">
        <v>10</v>
      </c>
      <c r="D3" s="71">
        <v>0.16666666666666666</v>
      </c>
      <c r="E3" s="23" cm="1">
        <f t="array" ref="E3">SUMPRODUCT(ISNUMBER(FIND("00:00",J3:AK3))*1+ISNUMBER(FIND("09:00",J3:AK3))*1+ISNUMBER(FIND("12:00",J3:AK3))*1+ISNUMBER(FIND("12:00PM",J3:AK3))*1+ISNUMBER(FIND("13:00",J3:AK3))*1+ISNUMBER(FIND("15:00",J3:AK3))*1)</f>
        <v>17</v>
      </c>
      <c r="F3" s="23" cm="1">
        <f t="array" ref="F3">SUMPRODUCT(ISNUMBER(FIND("OFF",J3:AK3))*1)+SUMPRODUCT(ISNUMBER(FIND("指休Off",J3:AK3))*1)</f>
        <v>11</v>
      </c>
      <c r="G3" s="23" cm="1">
        <f t="array" ref="G3">SUMPRODUCT(ISNUMBER(FIND("PTO",J3:AK3))*1+ISNUMBER(FIND("上特",J3:AK3))*0.5+ISNUMBER(FIND("下特",J3:AK3))*0.5)-H3</f>
        <v>0</v>
      </c>
      <c r="H3" s="23" cm="1">
        <f t="array" ref="H3">SUMPRODUCT(ISNUMBER(FIND("AL",J3:AK3))*1)</f>
        <v>0</v>
      </c>
      <c r="I3" s="23" cm="1">
        <f t="array" ref="I3">SUMPRODUCT(ISNUMBER(FIND("LOA",J3:AK3))*1)</f>
        <v>0</v>
      </c>
      <c r="J3" s="36" t="str">
        <f>IF(  OR(    AND($C$3="日一", OR(J$1="Sun", J$1="Mon")),AND($C$3="六日", OR(J$1="Sun", J$1="Sat")),
    AND($C$3="五六", OR(J$1="Fri", J$1="Sat")),
    AND($C$3="三四", OR(J$1="Wed", J$1="Thu"))
  ),
  "OFF",
  "00:00"
)</f>
        <v>OFF</v>
      </c>
      <c r="K3" s="36" t="str">
        <f t="shared" ref="K3:AK3" si="26">IF(  OR(    AND($C$3="日一", OR(K$1="Sun", K$1="Mon")),AND($C$3="六日", OR(K$1="Sun", K$1="Sat")),
    AND($C$3="五六", OR(K$1="Fri", K$1="Sat")),
    AND($C$3="三四", OR(K$1="Wed", K$1="Thu"))
  ),
  "OFF",
  "00:00"
)</f>
        <v>00:00</v>
      </c>
      <c r="L3" s="36" t="str">
        <f t="shared" si="26"/>
        <v>00:00</v>
      </c>
      <c r="M3" s="36" t="str">
        <f t="shared" si="26"/>
        <v>00:00</v>
      </c>
      <c r="N3" s="36" t="str">
        <f t="shared" si="26"/>
        <v>00:00</v>
      </c>
      <c r="O3" s="36" t="str">
        <f t="shared" si="26"/>
        <v>00:00</v>
      </c>
      <c r="P3" s="36" t="str">
        <f t="shared" si="26"/>
        <v>OFF</v>
      </c>
      <c r="Q3" s="36" t="str">
        <f t="shared" si="26"/>
        <v>OFF</v>
      </c>
      <c r="R3" s="36" t="s">
        <v>11</v>
      </c>
      <c r="S3" s="36" t="str">
        <f t="shared" si="26"/>
        <v>00:00</v>
      </c>
      <c r="T3" s="36" t="str">
        <f t="shared" si="26"/>
        <v>00:00</v>
      </c>
      <c r="U3" s="36" t="str">
        <f t="shared" si="26"/>
        <v>00:00</v>
      </c>
      <c r="V3" s="36" t="str">
        <f t="shared" si="26"/>
        <v>00:00</v>
      </c>
      <c r="W3" s="27" t="str">
        <f t="shared" si="26"/>
        <v>OFF</v>
      </c>
      <c r="X3" s="36" t="str">
        <f t="shared" si="26"/>
        <v>OFF</v>
      </c>
      <c r="Y3" s="36" t="s">
        <v>11</v>
      </c>
      <c r="Z3" s="36" t="s">
        <v>11</v>
      </c>
      <c r="AA3" s="36" t="str">
        <f t="shared" si="26"/>
        <v>00:00</v>
      </c>
      <c r="AB3" s="36" t="str">
        <f t="shared" si="26"/>
        <v>00:00</v>
      </c>
      <c r="AC3" s="36" t="str">
        <f t="shared" si="26"/>
        <v>00:00</v>
      </c>
      <c r="AD3" s="36" t="str">
        <f t="shared" si="26"/>
        <v>OFF</v>
      </c>
      <c r="AE3" s="21" t="str">
        <f t="shared" si="26"/>
        <v>OFF</v>
      </c>
      <c r="AF3" s="36" t="str">
        <f t="shared" si="26"/>
        <v>00:00</v>
      </c>
      <c r="AG3" s="36" t="str">
        <f t="shared" si="26"/>
        <v>00:00</v>
      </c>
      <c r="AH3" s="36" t="str">
        <f t="shared" si="26"/>
        <v>00:00</v>
      </c>
      <c r="AI3" s="36" t="str">
        <f t="shared" si="26"/>
        <v>00:00</v>
      </c>
      <c r="AJ3" s="36" t="str">
        <f t="shared" si="26"/>
        <v>00:00</v>
      </c>
      <c r="AK3" s="36" t="str">
        <f t="shared" si="26"/>
        <v>OFF</v>
      </c>
    </row>
    <row r="4" spans="1:37" ht="16.5" customHeight="1">
      <c r="A4" s="70"/>
      <c r="B4" s="70"/>
      <c r="C4" s="70"/>
      <c r="D4" s="70"/>
      <c r="E4" s="68" t="s">
        <v>12</v>
      </c>
      <c r="F4" s="68"/>
      <c r="G4" s="68"/>
      <c r="H4" s="68"/>
      <c r="I4" s="68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ht="16.5" hidden="1" customHeight="1">
      <c r="A5" s="46"/>
      <c r="B5" s="46"/>
      <c r="C5" s="46"/>
      <c r="D5" s="46"/>
      <c r="E5" s="67" t="s">
        <v>13</v>
      </c>
      <c r="F5" s="67"/>
      <c r="G5" s="67"/>
      <c r="H5" s="67"/>
      <c r="I5" s="67"/>
      <c r="J5" s="34" t="str">
        <f t="shared" ref="J5" si="27">IF(TEXT(J3,"hh:mm")="00:00", 0, "")</f>
        <v/>
      </c>
      <c r="K5" s="34">
        <f t="shared" ref="K5:AK5" si="28">IF(TEXT(K3,"hh:mm")="00:00", 0, "")</f>
        <v>0</v>
      </c>
      <c r="L5" s="34">
        <f t="shared" si="28"/>
        <v>0</v>
      </c>
      <c r="M5" s="34">
        <f t="shared" si="28"/>
        <v>0</v>
      </c>
      <c r="N5" s="34">
        <f t="shared" si="28"/>
        <v>0</v>
      </c>
      <c r="O5" s="34">
        <f t="shared" si="28"/>
        <v>0</v>
      </c>
      <c r="P5" s="34" t="str">
        <f t="shared" si="28"/>
        <v/>
      </c>
      <c r="Q5" s="34" t="str">
        <f t="shared" si="28"/>
        <v/>
      </c>
      <c r="R5" s="34" t="str">
        <f t="shared" si="28"/>
        <v/>
      </c>
      <c r="S5" s="34">
        <f t="shared" si="28"/>
        <v>0</v>
      </c>
      <c r="T5" s="34">
        <f t="shared" si="28"/>
        <v>0</v>
      </c>
      <c r="U5" s="34">
        <f t="shared" si="28"/>
        <v>0</v>
      </c>
      <c r="V5" s="34">
        <f t="shared" si="28"/>
        <v>0</v>
      </c>
      <c r="W5" s="34" t="str">
        <f t="shared" si="28"/>
        <v/>
      </c>
      <c r="X5" s="34" t="str">
        <f t="shared" si="28"/>
        <v/>
      </c>
      <c r="Y5" s="34" t="str">
        <f t="shared" si="28"/>
        <v/>
      </c>
      <c r="Z5" s="34" t="str">
        <f t="shared" si="28"/>
        <v/>
      </c>
      <c r="AA5" s="34">
        <f t="shared" si="28"/>
        <v>0</v>
      </c>
      <c r="AB5" s="34">
        <f t="shared" si="28"/>
        <v>0</v>
      </c>
      <c r="AC5" s="34">
        <f t="shared" si="28"/>
        <v>0</v>
      </c>
      <c r="AD5" s="34" t="str">
        <f t="shared" si="28"/>
        <v/>
      </c>
      <c r="AE5" s="34" t="str">
        <f t="shared" si="28"/>
        <v/>
      </c>
      <c r="AF5" s="34">
        <f t="shared" si="28"/>
        <v>0</v>
      </c>
      <c r="AG5" s="34">
        <f t="shared" si="28"/>
        <v>0</v>
      </c>
      <c r="AH5" s="34">
        <f t="shared" si="28"/>
        <v>0</v>
      </c>
      <c r="AI5" s="34">
        <f t="shared" si="28"/>
        <v>0</v>
      </c>
      <c r="AJ5" s="34">
        <f t="shared" si="28"/>
        <v>0</v>
      </c>
      <c r="AK5" s="34" t="str">
        <f t="shared" si="28"/>
        <v/>
      </c>
    </row>
    <row r="6" spans="1:37" ht="16.5" customHeight="1">
      <c r="A6" s="65" t="s">
        <v>14</v>
      </c>
      <c r="B6" s="65" t="s">
        <v>15</v>
      </c>
      <c r="C6" s="65" t="s">
        <v>16</v>
      </c>
      <c r="D6" s="73" t="s">
        <v>17</v>
      </c>
      <c r="E6" s="24" cm="1">
        <f t="array" ref="E6">SUMPRODUCT(ISNUMBER(FIND("00:00",J6:AK6))*1+ISNUMBER(FIND("09:00",J6:AK6))*1+ISNUMBER(FIND("12:00",J6:AK6))*1+ISNUMBER(FIND("12:00PM",J6:AK6))*1+ISNUMBER(FIND("13:00",J6:AK6))*1+ISNUMBER(FIND("15:00",J6:AK6))*1)</f>
        <v>17</v>
      </c>
      <c r="F6" s="24" cm="1">
        <f t="array" ref="F6">SUMPRODUCT(ISNUMBER(FIND("OFF",J6:AK6))*1)+SUMPRODUCT(ISNUMBER(FIND("指休Off",J6:AK6))*1)</f>
        <v>11</v>
      </c>
      <c r="G6" s="24" cm="1">
        <f t="array" ref="G6">SUMPRODUCT(ISNUMBER(FIND("PTO",J6:AK6))*1+ISNUMBER(FIND("上特",J6:AK6))*0.5+ISNUMBER(FIND("下特",J6:AK6))*0.5)-H6</f>
        <v>0</v>
      </c>
      <c r="H6" s="24" cm="1">
        <f t="array" ref="H6">SUMPRODUCT(--(J6:AK6="PTO-AL"))
 + SUMPRODUCT(--(J6:AK6="Half-AL"))*0.5
 + SUMPRODUCT(--(J6:AK6="AL-Half"))*0.5</f>
        <v>0</v>
      </c>
      <c r="I6" s="24" cm="1">
        <f t="array" ref="I6">SUMPRODUCT(ISNUMBER(FIND("LOA",J6:AK6))*1)</f>
        <v>0</v>
      </c>
      <c r="J6" s="21" t="s">
        <v>11</v>
      </c>
      <c r="K6" s="21" t="str">
        <f t="shared" ref="K6:AK6" si="29">IF(
  OR(
    AND($C$6="二三", OR(K$1="Tue", K$1="Wed")),AND($C$6="三四", OR(K$1="Wed", K$1="Thu")),AND($C$6="四五", OR(K$1="Fri", K$1="Thu")),AND($C$6="日一", OR(K$1="Sun", K$1="Mon")),
    AND($C$6="五六", OR(K$1="Fri", K$1="Sat")), AND($C$6="六日", OR(K$1="Sun", K$1="Sat"))
  ),
  "OFF",
  "09:00"
)</f>
        <v>09:00</v>
      </c>
      <c r="L6" s="21" t="str">
        <f t="shared" si="29"/>
        <v>09:00</v>
      </c>
      <c r="M6" s="21" t="str">
        <f t="shared" si="29"/>
        <v>OFF</v>
      </c>
      <c r="N6" s="21" t="str">
        <f t="shared" si="29"/>
        <v>OFF</v>
      </c>
      <c r="O6" s="21" t="str">
        <f t="shared" si="29"/>
        <v>09:00</v>
      </c>
      <c r="P6" s="21" t="str">
        <f t="shared" si="29"/>
        <v>09:00</v>
      </c>
      <c r="Q6" s="21" t="s">
        <v>11</v>
      </c>
      <c r="R6" s="21" t="str">
        <f t="shared" si="29"/>
        <v>09:00</v>
      </c>
      <c r="S6" s="21" t="str">
        <f t="shared" si="29"/>
        <v>09:00</v>
      </c>
      <c r="T6" s="21" t="str">
        <f t="shared" si="29"/>
        <v>OFF</v>
      </c>
      <c r="U6" s="21" t="str">
        <f t="shared" si="29"/>
        <v>OFF</v>
      </c>
      <c r="V6" s="21" t="str">
        <f t="shared" si="29"/>
        <v>09:00</v>
      </c>
      <c r="W6" s="21" t="str">
        <f t="shared" si="29"/>
        <v>09:00</v>
      </c>
      <c r="X6" s="21" t="s">
        <v>11</v>
      </c>
      <c r="Y6" s="33" t="str">
        <f t="shared" si="29"/>
        <v>09:00</v>
      </c>
      <c r="Z6" s="33" t="s">
        <v>18</v>
      </c>
      <c r="AA6" s="21" t="str">
        <f t="shared" si="29"/>
        <v>OFF</v>
      </c>
      <c r="AB6" s="21" t="s">
        <v>11</v>
      </c>
      <c r="AC6" s="21" t="str">
        <f t="shared" si="29"/>
        <v>09:00</v>
      </c>
      <c r="AD6" s="21" t="str">
        <f t="shared" si="29"/>
        <v>09:00</v>
      </c>
      <c r="AE6" s="33" t="s">
        <v>11</v>
      </c>
      <c r="AF6" s="21" t="str">
        <f t="shared" si="29"/>
        <v>09:00</v>
      </c>
      <c r="AG6" s="33" t="s">
        <v>19</v>
      </c>
      <c r="AH6" s="33" t="s">
        <v>19</v>
      </c>
      <c r="AI6" s="21" t="str">
        <f t="shared" si="29"/>
        <v>OFF</v>
      </c>
      <c r="AJ6" s="21" t="str">
        <f t="shared" si="29"/>
        <v>09:00</v>
      </c>
      <c r="AK6" s="21" t="str">
        <f t="shared" si="29"/>
        <v>09:00</v>
      </c>
    </row>
    <row r="7" spans="1:37" ht="16.5" customHeight="1">
      <c r="A7" s="65"/>
      <c r="B7" s="65"/>
      <c r="C7" s="65"/>
      <c r="D7" s="73"/>
      <c r="E7" s="68" t="s">
        <v>12</v>
      </c>
      <c r="F7" s="68"/>
      <c r="G7" s="68"/>
      <c r="H7" s="68"/>
      <c r="I7" s="68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 t="s">
        <v>20</v>
      </c>
      <c r="X7" s="27"/>
      <c r="Y7" s="27"/>
      <c r="Z7" s="27" t="s">
        <v>20</v>
      </c>
      <c r="AA7" s="27"/>
      <c r="AB7" s="27"/>
      <c r="AC7" s="27"/>
      <c r="AD7" s="27" t="s">
        <v>20</v>
      </c>
      <c r="AE7" s="27"/>
      <c r="AF7" s="27" t="s">
        <v>20</v>
      </c>
      <c r="AG7" s="27"/>
      <c r="AH7" s="27"/>
      <c r="AI7" s="27"/>
      <c r="AJ7" s="27"/>
      <c r="AK7" s="27"/>
    </row>
    <row r="8" spans="1:37" ht="16.5" customHeight="1">
      <c r="A8" s="65" t="s">
        <v>21</v>
      </c>
      <c r="B8" s="65"/>
      <c r="C8" s="65" t="s">
        <v>22</v>
      </c>
      <c r="D8" s="73"/>
      <c r="E8" s="24" cm="1">
        <f t="array" ref="E8">SUMPRODUCT(ISNUMBER(FIND("00:00",J8:AK8))*1+ISNUMBER(FIND("09:00",J8:AK8))*1+ISNUMBER(FIND("12:00",J8:AK8))*1+ISNUMBER(FIND("12:00PM",J8:AK8))*1+ISNUMBER(FIND("13:00",J8:AK8))*1+ISNUMBER(FIND("15:00",J8:AK8))*1)</f>
        <v>17</v>
      </c>
      <c r="F8" s="24" cm="1">
        <f t="array" ref="F8">SUMPRODUCT(ISNUMBER(FIND("OFF",J8:AK8))*1)+SUMPRODUCT(ISNUMBER(FIND("指休Off",J8:AK8))*1)</f>
        <v>11</v>
      </c>
      <c r="G8" s="24" cm="1">
        <f t="array" ref="G8">SUMPRODUCT(ISNUMBER(FIND("PTO",J8:AK8))*1+ISNUMBER(FIND("上特",J8:AK8))*0.5+ISNUMBER(FIND("下特",J8:AK8))*0.5)-H8</f>
        <v>0</v>
      </c>
      <c r="H8" s="24" cm="1">
        <f t="array" ref="H8">SUMPRODUCT(--(J8:AK8="PTO-AL"))
 + SUMPRODUCT(--(J8:AK8="Half-AL"))*0.5
 + SUMPRODUCT(--(J8:AK8="AL-Half"))*0.5</f>
        <v>0</v>
      </c>
      <c r="I8" s="24" cm="1">
        <f t="array" ref="I8">SUMPRODUCT(ISNUMBER(FIND("LOA",J8:AK8))*1)</f>
        <v>0</v>
      </c>
      <c r="J8" s="33" t="str">
        <f t="shared" ref="J8:AK8" si="30">IF(
  OR(
    AND($C$8="二三", OR(J$1="Tue", J$1="Wed")),AND($C$8="四五", OR(J$1="Fri", J$1="Thu")),
    AND($C$8="五六", OR(J$1="Fri", J$1="Sat")),AND($C$8="六日", OR(J$1="Sun", J$1="Sat")),AND($C$8="日一", OR(J$1="Sun", J$1="Mon")),
    AND($C$8="三四", OR(J$1="Wed", J$1="Thu"))
  ),
  "OFF",
  "09:00"
)</f>
        <v>09:00</v>
      </c>
      <c r="K8" s="33" t="str">
        <f t="shared" si="30"/>
        <v>09:00</v>
      </c>
      <c r="L8" s="33" t="s">
        <v>11</v>
      </c>
      <c r="M8" s="33" t="str">
        <f t="shared" si="30"/>
        <v>09:00</v>
      </c>
      <c r="N8" s="33" t="str">
        <f t="shared" si="30"/>
        <v>09:00</v>
      </c>
      <c r="O8" s="33" t="str">
        <f t="shared" si="30"/>
        <v>OFF</v>
      </c>
      <c r="P8" s="33" t="str">
        <f t="shared" si="30"/>
        <v>OFF</v>
      </c>
      <c r="Q8" s="33" t="str">
        <f t="shared" si="30"/>
        <v>09:00</v>
      </c>
      <c r="R8" s="33" t="str">
        <f t="shared" si="30"/>
        <v>09:00</v>
      </c>
      <c r="S8" s="33" t="str">
        <f t="shared" si="30"/>
        <v>09:00</v>
      </c>
      <c r="T8" s="33" t="str">
        <f t="shared" si="30"/>
        <v>09:00</v>
      </c>
      <c r="U8" s="33" t="str">
        <f t="shared" si="30"/>
        <v>09:00</v>
      </c>
      <c r="V8" s="33" t="str">
        <f t="shared" si="30"/>
        <v>OFF</v>
      </c>
      <c r="W8" s="33" t="str">
        <f t="shared" si="30"/>
        <v>OFF</v>
      </c>
      <c r="X8" s="33" t="str">
        <f t="shared" si="30"/>
        <v>09:00</v>
      </c>
      <c r="Y8" s="33" t="str">
        <f t="shared" si="30"/>
        <v>09:00</v>
      </c>
      <c r="Z8" s="33" t="s">
        <v>11</v>
      </c>
      <c r="AA8" s="33" t="s">
        <v>11</v>
      </c>
      <c r="AB8" s="21" t="str">
        <f t="shared" si="30"/>
        <v>09:00</v>
      </c>
      <c r="AC8" s="21" t="str">
        <f t="shared" si="30"/>
        <v>OFF</v>
      </c>
      <c r="AD8" s="21" t="str">
        <f t="shared" si="30"/>
        <v>OFF</v>
      </c>
      <c r="AE8" s="33" t="str">
        <f t="shared" si="30"/>
        <v>09:00</v>
      </c>
      <c r="AF8" s="33" t="str">
        <f t="shared" si="30"/>
        <v>09:00</v>
      </c>
      <c r="AG8" s="33" t="str">
        <f t="shared" si="30"/>
        <v>09:00</v>
      </c>
      <c r="AH8" s="33" t="s">
        <v>11</v>
      </c>
      <c r="AI8" s="33" t="s">
        <v>19</v>
      </c>
      <c r="AJ8" s="33" t="s">
        <v>19</v>
      </c>
      <c r="AK8" s="33" t="str">
        <f t="shared" si="30"/>
        <v>OFF</v>
      </c>
    </row>
    <row r="9" spans="1:37" ht="16.5" customHeight="1">
      <c r="A9" s="65"/>
      <c r="B9" s="65"/>
      <c r="C9" s="65"/>
      <c r="D9" s="73"/>
      <c r="E9" s="68" t="s">
        <v>12</v>
      </c>
      <c r="F9" s="68"/>
      <c r="G9" s="68"/>
      <c r="H9" s="68"/>
      <c r="I9" s="68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 t="s">
        <v>20</v>
      </c>
      <c r="Y9" s="27" t="s">
        <v>20</v>
      </c>
      <c r="Z9" s="27"/>
      <c r="AA9" s="27"/>
      <c r="AB9" s="27"/>
      <c r="AC9" s="27"/>
      <c r="AD9" s="27"/>
      <c r="AE9" s="27" t="s">
        <v>20</v>
      </c>
      <c r="AF9" s="27" t="s">
        <v>20</v>
      </c>
      <c r="AG9" s="27"/>
      <c r="AH9" s="27"/>
      <c r="AI9" s="27"/>
      <c r="AJ9" s="27"/>
      <c r="AK9" s="27"/>
    </row>
    <row r="10" spans="1:37" ht="16.5" customHeight="1">
      <c r="A10" s="65" t="s">
        <v>23</v>
      </c>
      <c r="B10" s="65"/>
      <c r="C10" s="65" t="s">
        <v>10</v>
      </c>
      <c r="D10" s="73"/>
      <c r="E10" s="24" cm="1">
        <f t="array" ref="E10">SUMPRODUCT(ISNUMBER(FIND("00:00",J10:AK10))*1+ISNUMBER(FIND("09:00",J10:AK10))*1+ISNUMBER(FIND("12:00",J10:AK10))*1+ISNUMBER(FIND("12:00PM",J10:AK10))*1+ISNUMBER(FIND("13:00",J10:AK10))*1+ISNUMBER(FIND("15:00",J10:AK10))*1)</f>
        <v>16</v>
      </c>
      <c r="F10" s="24" cm="1">
        <f t="array" ref="F10">SUMPRODUCT(ISNUMBER(FIND("OFF",J10:AK10))*1)+SUMPRODUCT(ISNUMBER(FIND("指休Off",J10:AK10))*1)</f>
        <v>11</v>
      </c>
      <c r="G10" s="24" cm="1">
        <f t="array" ref="G10">SUMPRODUCT(ISNUMBER(FIND("PTO",J10:AK10))*1+ISNUMBER(FIND("上特",J10:AK10))*0.5+ISNUMBER(FIND("下特",J10:AK10))*0.5)-H10</f>
        <v>1</v>
      </c>
      <c r="H10" s="24" cm="1">
        <f t="array" ref="H10">SUMPRODUCT(--(J10:AK10="PTO-AL"))
 + SUMPRODUCT(--(J10:AK10="Half-AL"))*0.5
 + SUMPRODUCT(--(J10:AK10="AL-Half"))*0.5</f>
        <v>0</v>
      </c>
      <c r="I10" s="24" cm="1">
        <f t="array" ref="I10">SUMPRODUCT(ISNUMBER(FIND("LOA",J10:AK10))*1)</f>
        <v>0</v>
      </c>
      <c r="J10" s="57" t="str">
        <f>IF(
  OR(
    AND($C$10="日一", OR(J$1="Sun", J$1="Mon")),AND($C$10="六日", OR(J$1="Sun", J$1="Sat")),
    AND($C$10="五六", OR(J$1="Fri", J$1="Sat")),AND($C$10="四五", OR(J$1="Fri", J$1="Tue")),
    AND($C$10="三四", OR(J$1="Wed", J$1="Thu")),AND($C$10="二三", OR(J$1="Wed", J$1="Tue"))
  ),
  "OFF",
  "09:00"
)</f>
        <v>OFF</v>
      </c>
      <c r="K10" s="57" t="str">
        <f t="shared" ref="K10:AI10" si="31">IF(
  OR(
    AND($C$10="日一", OR(K$1="Sun", K$1="Mon")),AND($C$10="六日", OR(K$1="Sun", K$1="Sat")),
    AND($C$10="五六", OR(K$1="Fri", K$1="Sat")),AND($C$10="四五", OR(K$1="Fri", K$1="Tue")),
    AND($C$10="三四", OR(K$1="Wed", K$1="Thu")),AND($C$10="二三", OR(K$1="Wed", K$1="Tue"))
  ),
  "OFF",
  "09:00"
)</f>
        <v>09:00</v>
      </c>
      <c r="L10" s="57" t="str">
        <f t="shared" si="31"/>
        <v>09:00</v>
      </c>
      <c r="M10" s="57" t="str">
        <f t="shared" si="31"/>
        <v>09:00</v>
      </c>
      <c r="N10" s="57" t="str">
        <f t="shared" si="31"/>
        <v>09:00</v>
      </c>
      <c r="O10" s="57" t="str">
        <f t="shared" si="31"/>
        <v>09:00</v>
      </c>
      <c r="P10" s="57" t="str">
        <f t="shared" si="31"/>
        <v>OFF</v>
      </c>
      <c r="Q10" s="57" t="str">
        <f t="shared" si="31"/>
        <v>OFF</v>
      </c>
      <c r="R10" s="57" t="str">
        <f t="shared" si="31"/>
        <v>09:00</v>
      </c>
      <c r="S10" s="57" t="s">
        <v>11</v>
      </c>
      <c r="T10" s="57" t="str">
        <f t="shared" si="31"/>
        <v>09:00</v>
      </c>
      <c r="U10" s="57" t="str">
        <f t="shared" si="31"/>
        <v>09:00</v>
      </c>
      <c r="V10" s="57" t="str">
        <f t="shared" si="31"/>
        <v>09:00</v>
      </c>
      <c r="W10" s="57" t="str">
        <f t="shared" si="31"/>
        <v>OFF</v>
      </c>
      <c r="X10" s="57" t="str">
        <f t="shared" si="31"/>
        <v>OFF</v>
      </c>
      <c r="Y10" s="57" t="s">
        <v>11</v>
      </c>
      <c r="Z10" s="57" t="s">
        <v>11</v>
      </c>
      <c r="AA10" s="57" t="str">
        <f t="shared" si="31"/>
        <v>09:00</v>
      </c>
      <c r="AB10" s="57" t="str">
        <f t="shared" si="31"/>
        <v>09:00</v>
      </c>
      <c r="AC10" s="57" t="str">
        <f t="shared" si="31"/>
        <v>09:00</v>
      </c>
      <c r="AD10" s="57" t="str">
        <f t="shared" si="31"/>
        <v>OFF</v>
      </c>
      <c r="AE10" s="57" t="str">
        <f t="shared" si="31"/>
        <v>OFF</v>
      </c>
      <c r="AF10" s="33" t="s">
        <v>19</v>
      </c>
      <c r="AG10" s="58" t="s">
        <v>19</v>
      </c>
      <c r="AH10" s="57" t="str">
        <f t="shared" si="31"/>
        <v>09:00</v>
      </c>
      <c r="AI10" s="57" t="str">
        <f t="shared" si="31"/>
        <v>09:00</v>
      </c>
      <c r="AJ10" s="59" t="s">
        <v>24</v>
      </c>
      <c r="AK10" s="57" t="s">
        <v>11</v>
      </c>
    </row>
    <row r="11" spans="1:37" ht="16.5" customHeight="1">
      <c r="A11" s="65"/>
      <c r="B11" s="65"/>
      <c r="C11" s="65"/>
      <c r="D11" s="73"/>
      <c r="E11" s="68" t="s">
        <v>12</v>
      </c>
      <c r="F11" s="68"/>
      <c r="G11" s="68"/>
      <c r="H11" s="68"/>
      <c r="I11" s="68"/>
      <c r="J11" s="27"/>
      <c r="K11" s="27" t="s">
        <v>20</v>
      </c>
      <c r="L11" s="27"/>
      <c r="M11" s="27"/>
      <c r="N11" s="27"/>
      <c r="O11" s="27"/>
      <c r="P11" s="27"/>
      <c r="Q11" s="27"/>
      <c r="R11" s="27" t="s">
        <v>20</v>
      </c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 t="s">
        <v>20</v>
      </c>
      <c r="AI11" s="27" t="s">
        <v>20</v>
      </c>
      <c r="AJ11" s="27"/>
      <c r="AK11" s="27"/>
    </row>
    <row r="12" spans="1:37" ht="16.5" customHeight="1">
      <c r="A12" s="75" t="s">
        <v>25</v>
      </c>
      <c r="B12" s="75" t="s">
        <v>26</v>
      </c>
      <c r="C12" s="75" t="s">
        <v>27</v>
      </c>
      <c r="D12" s="77" t="s">
        <v>28</v>
      </c>
      <c r="E12" s="25" cm="1">
        <f t="array" ref="E12">SUMPRODUCT(ISNUMBER(FIND("00:00",J12:AK12))*1+ISNUMBER(FIND("09:00",J12:AK12))*1+ISNUMBER(FIND("12:00",J12:AK12))*1+ISNUMBER(FIND("12:00PM",J12:AK12))*1+ISNUMBER(FIND("13:00",J12:AK12))*1+ISNUMBER(FIND("15:00",J12:AK12))*1)</f>
        <v>14</v>
      </c>
      <c r="F12" s="25" cm="1">
        <f t="array" ref="F12">SUMPRODUCT(ISNUMBER(FIND("OFF",J12:AK12))*1)+SUMPRODUCT(ISNUMBER(FIND("指休Off",J12:AK12))*1)</f>
        <v>11</v>
      </c>
      <c r="G12" s="25" cm="1">
        <f t="array" ref="G12">SUMPRODUCT(ISNUMBER(FIND("PTO",J12:AK12))*1+ISNUMBER(FIND("上特",J12:AK12))*0.5+ISNUMBER(FIND("下特",J12:AK12))*0.5)-H12</f>
        <v>3</v>
      </c>
      <c r="H12" s="25" cm="1">
        <f t="array" ref="H12">SUMPRODUCT(--(J12:AK12="PTO-AL"))
 + SUMPRODUCT(--(J12:AK12="Half-AL"))*0.5
 + SUMPRODUCT(--(J12:AK12="AL-Half"))*0.5</f>
        <v>0</v>
      </c>
      <c r="I12" s="25" cm="1">
        <f t="array" ref="I12">SUMPRODUCT(ISNUMBER(FIND("LOA",J12:AK12))*1)</f>
        <v>0</v>
      </c>
      <c r="J12" s="36" t="str">
        <f t="shared" ref="J12:AJ12" si="32">IF(  OR(
    AND($C$12="日一", OR(J$1="Sun", J$1="Mon")),AND($C$12="二三", OR(J$1="Tue", J$1="Wed")),AND($C$12="一二", OR(J$1="Tue", J$1="Mon")),
    AND($C$12="五六", OR(J$1="Fri", J$1="Sat")), AND($C$12="四五", OR(J$1="Fri", J$1="Thu")),
    AND($C$12="三四", OR(J$1="Wed", J$1="Thu"))
  ),
  "OFF",
  "15:00"
)</f>
        <v>15:00</v>
      </c>
      <c r="K12" s="36" t="str">
        <f>IF(  OR(
    AND($C$12="日一", OR(K$1="Sun", K$1="Mon")),AND($C$12="二三", OR(K$1="Tue", K$1="Wed")),AND($C$12="一二", OR(K$1="Tue", K$1="Mon")),
    AND($C$12="五六", OR(K$1="Fri", K$1="Sat")), AND($C$12="四五", OR(K$1="Fri", K$1="Thu")),
    AND($C$12="三四", OR(K$1="Wed", K$1="Thu"))
  ),
  "OFF",
  "15:00"
)</f>
        <v>OFF</v>
      </c>
      <c r="L12" s="36" t="str">
        <f t="shared" si="32"/>
        <v>OFF</v>
      </c>
      <c r="M12" s="36" t="str">
        <f t="shared" si="32"/>
        <v>15:00</v>
      </c>
      <c r="N12" s="36" t="str">
        <f t="shared" si="32"/>
        <v>15:00</v>
      </c>
      <c r="O12" s="36" t="str">
        <f t="shared" si="32"/>
        <v>15:00</v>
      </c>
      <c r="P12" s="36" t="str">
        <f t="shared" si="32"/>
        <v>15:00</v>
      </c>
      <c r="Q12" s="36" t="str">
        <f t="shared" si="32"/>
        <v>15:00</v>
      </c>
      <c r="R12" s="36" t="str">
        <f t="shared" si="32"/>
        <v>OFF</v>
      </c>
      <c r="S12" s="36" t="str">
        <f t="shared" si="32"/>
        <v>OFF</v>
      </c>
      <c r="T12" s="36" t="str">
        <f t="shared" si="32"/>
        <v>15:00</v>
      </c>
      <c r="U12" s="36" t="str">
        <f t="shared" si="32"/>
        <v>15:00</v>
      </c>
      <c r="V12" s="36" t="str">
        <f t="shared" si="32"/>
        <v>15:00</v>
      </c>
      <c r="W12" s="47" t="s">
        <v>11</v>
      </c>
      <c r="X12" s="36" t="str">
        <f t="shared" si="32"/>
        <v>15:00</v>
      </c>
      <c r="Y12" s="36" t="str">
        <f t="shared" si="32"/>
        <v>OFF</v>
      </c>
      <c r="Z12" s="36" t="str">
        <f t="shared" si="32"/>
        <v>OFF</v>
      </c>
      <c r="AA12" s="36" t="str">
        <f t="shared" si="32"/>
        <v>15:00</v>
      </c>
      <c r="AB12" s="36" t="str">
        <f t="shared" si="32"/>
        <v>15:00</v>
      </c>
      <c r="AC12" s="36" t="s">
        <v>11</v>
      </c>
      <c r="AD12" s="39" t="s">
        <v>24</v>
      </c>
      <c r="AE12" s="45" t="s">
        <v>24</v>
      </c>
      <c r="AF12" s="39" t="s">
        <v>24</v>
      </c>
      <c r="AG12" s="36" t="str">
        <f t="shared" si="32"/>
        <v>OFF</v>
      </c>
      <c r="AH12" s="36" t="s">
        <v>11</v>
      </c>
      <c r="AI12" s="36" t="s">
        <v>11</v>
      </c>
      <c r="AJ12" s="36" t="str">
        <f t="shared" si="32"/>
        <v>15:00</v>
      </c>
      <c r="AK12" s="36" t="str">
        <f>IF(  OR(
    AND($C$12="日一", OR(AK$1="Sun", AK$1="Mon")),AND($C$12="二三", OR(AK$1="Tue", AK$1="Wed")),AND($C$12="一二", OR(AK$1="Tue", AK$1="Mon")),
    AND($C$12="五六", OR(AK$1="Fri", AK$1="Sat")), AND($C$12="四五", OR(AK$1="Fri", AK$1="Thu")),
    AND($C$12="三四", OR(AK$1="Wed", AK$1="Thu"))
  ),
  "OFF",
  "15:00"
)</f>
        <v>15:00</v>
      </c>
    </row>
    <row r="13" spans="1:37" ht="16.5" customHeight="1">
      <c r="A13" s="75"/>
      <c r="B13" s="75"/>
      <c r="C13" s="75"/>
      <c r="D13" s="77"/>
      <c r="E13" s="68" t="s">
        <v>12</v>
      </c>
      <c r="F13" s="68"/>
      <c r="G13" s="68"/>
      <c r="H13" s="68"/>
      <c r="I13" s="68"/>
      <c r="J13" s="27" t="s">
        <v>29</v>
      </c>
      <c r="K13" s="27"/>
      <c r="L13" s="27"/>
      <c r="M13" s="27"/>
      <c r="N13" s="27"/>
      <c r="O13" s="27" t="s">
        <v>29</v>
      </c>
      <c r="P13" s="27" t="s">
        <v>29</v>
      </c>
      <c r="Q13" s="27"/>
      <c r="R13" s="27"/>
      <c r="S13" s="27"/>
      <c r="T13" s="27"/>
      <c r="U13" s="27"/>
      <c r="V13" s="27" t="s">
        <v>29</v>
      </c>
      <c r="W13" s="27"/>
      <c r="X13" s="27" t="s">
        <v>29</v>
      </c>
      <c r="Y13" s="27"/>
      <c r="Z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spans="1:37" ht="16.5" customHeight="1">
      <c r="A14" s="75" t="s">
        <v>30</v>
      </c>
      <c r="B14" s="75"/>
      <c r="C14" s="75" t="s">
        <v>16</v>
      </c>
      <c r="D14" s="77"/>
      <c r="E14" s="25" cm="1">
        <f t="array" ref="E14">SUMPRODUCT(ISNUMBER(FIND("00:00",J14:AK14))*1+ISNUMBER(FIND("09:00",J14:AK14))*1+ISNUMBER(FIND("12:00",J14:AK14))*1+ISNUMBER(FIND("12:00PM",J14:AK14))*1+ISNUMBER(FIND("13:00",J14:AK14))*1+ISNUMBER(FIND("15:00",J14:AK14))*1)</f>
        <v>17</v>
      </c>
      <c r="F14" s="25" cm="1">
        <f t="array" ref="F14">SUMPRODUCT(ISNUMBER(FIND("OFF",J14:AK14))*1)+SUMPRODUCT(ISNUMBER(FIND("指休Off",J14:AK14))*1)</f>
        <v>11</v>
      </c>
      <c r="G14" s="25" cm="1">
        <f t="array" ref="G14">SUMPRODUCT(ISNUMBER(FIND("PTO",J14:AK14))*1+ISNUMBER(FIND("上特",J14:AK14))*0.5+ISNUMBER(FIND("下特",J14:AK14))*0.5)-H14</f>
        <v>0</v>
      </c>
      <c r="H14" s="25" cm="1">
        <f t="array" ref="H14">SUMPRODUCT(--(J14:AK14="PTO-AL"))
 + SUMPRODUCT(--(J14:AK14="Half-AL"))*0.5
 + SUMPRODUCT(--(J14:AK14="AL-Half"))*0.5</f>
        <v>0</v>
      </c>
      <c r="I14" s="25" cm="1">
        <f t="array" ref="I14">SUMPRODUCT(ISNUMBER(FIND("LOA",J14:AK14))*1)</f>
        <v>0</v>
      </c>
      <c r="J14" s="21" t="str">
        <f t="shared" ref="J14:AK14" si="33">IF(
  OR(
    AND($C$14="日一", OR(J$1="Sun", J$1="Mon")),AND($C$14="四五", OR(J$1="Fri", J$1="Thu")),
    AND($C$14="五六", OR(J$1="Fri", J$1="Sat")), AND($C$14="二三", OR(J$1="Tue", J$1="Wed")),
    AND($C$14="三四", OR(J$1="Wed", J$1="Thu"))
  ),
  "OFF",
  "15:00"
)</f>
        <v>15:00</v>
      </c>
      <c r="K14" s="21" t="str">
        <f t="shared" si="33"/>
        <v>15:00</v>
      </c>
      <c r="L14" s="21" t="str">
        <f t="shared" si="33"/>
        <v>15:00</v>
      </c>
      <c r="M14" s="21" t="str">
        <f t="shared" si="33"/>
        <v>OFF</v>
      </c>
      <c r="N14" s="21" t="str">
        <f t="shared" si="33"/>
        <v>OFF</v>
      </c>
      <c r="O14" s="21" t="str">
        <f t="shared" si="33"/>
        <v>15:00</v>
      </c>
      <c r="P14" s="21" t="str">
        <f t="shared" si="33"/>
        <v>15:00</v>
      </c>
      <c r="Q14" s="21" t="s">
        <v>11</v>
      </c>
      <c r="R14" s="21" t="str">
        <f t="shared" si="33"/>
        <v>15:00</v>
      </c>
      <c r="S14" s="21" t="str">
        <f t="shared" si="33"/>
        <v>15:00</v>
      </c>
      <c r="T14" s="21" t="s">
        <v>31</v>
      </c>
      <c r="U14" s="21" t="str">
        <f t="shared" si="33"/>
        <v>OFF</v>
      </c>
      <c r="V14" s="33" t="s">
        <v>11</v>
      </c>
      <c r="W14" s="21" t="str">
        <f t="shared" si="33"/>
        <v>15:00</v>
      </c>
      <c r="X14" s="21" t="s">
        <v>11</v>
      </c>
      <c r="Y14" s="21" t="str">
        <f t="shared" si="33"/>
        <v>15:00</v>
      </c>
      <c r="Z14" s="21" t="str">
        <f t="shared" si="33"/>
        <v>15:00</v>
      </c>
      <c r="AA14" s="21" t="s">
        <v>11</v>
      </c>
      <c r="AB14" s="21" t="str">
        <f t="shared" si="33"/>
        <v>OFF</v>
      </c>
      <c r="AC14" s="21" t="str">
        <f t="shared" si="33"/>
        <v>15:00</v>
      </c>
      <c r="AD14" s="21" t="str">
        <f t="shared" si="33"/>
        <v>15:00</v>
      </c>
      <c r="AE14" s="21" t="s">
        <v>11</v>
      </c>
      <c r="AF14" s="21" t="str">
        <f t="shared" si="33"/>
        <v>15:00</v>
      </c>
      <c r="AG14" s="21" t="str">
        <f t="shared" si="33"/>
        <v>15:00</v>
      </c>
      <c r="AH14" s="21" t="s">
        <v>31</v>
      </c>
      <c r="AI14" s="21" t="str">
        <f t="shared" si="33"/>
        <v>OFF</v>
      </c>
      <c r="AJ14" s="21" t="s">
        <v>11</v>
      </c>
      <c r="AK14" s="21" t="str">
        <f t="shared" si="33"/>
        <v>15:00</v>
      </c>
    </row>
    <row r="15" spans="1:37" ht="16.5" customHeight="1">
      <c r="A15" s="75"/>
      <c r="B15" s="75"/>
      <c r="C15" s="75"/>
      <c r="D15" s="77"/>
      <c r="E15" s="76" t="s">
        <v>12</v>
      </c>
      <c r="F15" s="76"/>
      <c r="G15" s="76"/>
      <c r="H15" s="76"/>
      <c r="I15" s="76"/>
      <c r="J15" s="27"/>
      <c r="K15" s="27"/>
      <c r="L15" s="27"/>
      <c r="M15" s="27"/>
      <c r="N15" s="27"/>
      <c r="O15" s="27" t="s">
        <v>29</v>
      </c>
      <c r="P15" s="48"/>
      <c r="Q15" s="27"/>
      <c r="R15" s="48"/>
      <c r="S15" s="27"/>
      <c r="T15" s="27"/>
      <c r="U15" s="27"/>
      <c r="V15" s="27"/>
      <c r="W15" s="27" t="s">
        <v>29</v>
      </c>
      <c r="X15" s="27"/>
      <c r="Y15" s="27"/>
      <c r="Z15" s="27" t="s">
        <v>29</v>
      </c>
      <c r="AA15" s="27"/>
      <c r="AB15" s="27"/>
      <c r="AC15" s="27"/>
      <c r="AD15" s="27" t="s">
        <v>29</v>
      </c>
      <c r="AE15" s="27"/>
      <c r="AF15" s="27" t="s">
        <v>29</v>
      </c>
      <c r="AG15" s="27"/>
      <c r="AH15" s="27"/>
      <c r="AI15" s="27"/>
      <c r="AJ15" s="27"/>
      <c r="AK15" s="27" t="s">
        <v>29</v>
      </c>
    </row>
    <row r="16" spans="1:37" ht="16.5" customHeight="1">
      <c r="A16" s="75" t="s">
        <v>32</v>
      </c>
      <c r="B16" s="75"/>
      <c r="C16" s="75" t="s">
        <v>22</v>
      </c>
      <c r="D16" s="77"/>
      <c r="E16" s="25" cm="1">
        <f t="array" ref="E16">SUMPRODUCT(ISNUMBER(FIND("00:00",J16:AK16))*1+ISNUMBER(FIND("09:00",J16:AK16))*1+ISNUMBER(FIND("12:00",J16:AK16))*1+ISNUMBER(FIND("12:00PM",J16:AK16))*1+ISNUMBER(FIND("13:00",J16:AK16))*1+ISNUMBER(FIND("15:00",J16:AK16))*1)</f>
        <v>17</v>
      </c>
      <c r="F16" s="25" cm="1">
        <f t="array" ref="F16">SUMPRODUCT(ISNUMBER(FIND("OFF",J16:AK16))*1)+SUMPRODUCT(ISNUMBER(FIND("指休Off",J16:AK16))*1)</f>
        <v>11</v>
      </c>
      <c r="G16" s="25" cm="1">
        <f t="array" ref="G16">SUMPRODUCT(ISNUMBER(FIND("PTO",J16:AK16))*1+ISNUMBER(FIND("上特",J16:AK16))*0.5+ISNUMBER(FIND("下特",J16:AK16))*0.5)-H16</f>
        <v>0</v>
      </c>
      <c r="H16" s="25" cm="1">
        <f t="array" ref="H16">SUMPRODUCT(--(J16:AK16="PTO-AL"))
 + SUMPRODUCT(--(J16:AK16="Half-AL"))*0.5
 + SUMPRODUCT(--(J16:AK16="AL-Half"))*0.5</f>
        <v>0</v>
      </c>
      <c r="I16" s="25" cm="1">
        <f t="array" ref="I16">SUMPRODUCT(ISNUMBER(FIND("LOA",J16:AK16))*1)</f>
        <v>0</v>
      </c>
      <c r="J16" s="21" t="s">
        <v>11</v>
      </c>
      <c r="K16" s="21" t="str">
        <f t="shared" ref="K16:AK16" si="34">IF(
  OR(
    AND($C$16="日一", OR(K$1="Sun", K$1="Mon")),AND($C$16="六日", OR(K$1="Sun", K$1="Sat")),
    AND($C$16="五六", OR(K$1="Fri", K$1="Sat")),AND($C$16="四五", OR(K$1="Fri", K$1="Thu")),
    AND($C$16="三四", OR(K$1="Wed", K$1="Thu")),AND($C$16="二三", OR(K$1="Tue", K$1="Wed")),
  ),
  "OFF",
  "15:00"
)</f>
        <v>15:00</v>
      </c>
      <c r="L16" s="21" t="str">
        <f t="shared" si="34"/>
        <v>15:00</v>
      </c>
      <c r="M16" s="21" t="str">
        <f t="shared" si="34"/>
        <v>15:00</v>
      </c>
      <c r="N16" s="21" t="str">
        <f t="shared" si="34"/>
        <v>15:00</v>
      </c>
      <c r="O16" s="21" t="str">
        <f t="shared" si="34"/>
        <v>OFF</v>
      </c>
      <c r="P16" s="21" t="str">
        <f t="shared" si="34"/>
        <v>OFF</v>
      </c>
      <c r="Q16" s="21" t="str">
        <f t="shared" si="34"/>
        <v>15:00</v>
      </c>
      <c r="R16" s="21" t="str">
        <f t="shared" si="34"/>
        <v>15:00</v>
      </c>
      <c r="S16" s="21" t="str">
        <f t="shared" si="34"/>
        <v>15:00</v>
      </c>
      <c r="T16" s="21" t="s">
        <v>11</v>
      </c>
      <c r="U16" s="21" t="str">
        <f t="shared" si="34"/>
        <v>15:00</v>
      </c>
      <c r="V16" s="21" t="s">
        <v>31</v>
      </c>
      <c r="W16" s="21" t="str">
        <f t="shared" si="34"/>
        <v>OFF</v>
      </c>
      <c r="X16" s="21" t="s">
        <v>11</v>
      </c>
      <c r="Y16" s="21" t="s">
        <v>11</v>
      </c>
      <c r="Z16" s="21" t="s">
        <v>11</v>
      </c>
      <c r="AA16" s="21" t="str">
        <f t="shared" si="34"/>
        <v>15:00</v>
      </c>
      <c r="AB16" s="21" t="str">
        <f t="shared" si="34"/>
        <v>15:00</v>
      </c>
      <c r="AC16" s="21" t="s">
        <v>31</v>
      </c>
      <c r="AD16" s="21" t="str">
        <f t="shared" si="34"/>
        <v>OFF</v>
      </c>
      <c r="AE16" s="21" t="str">
        <f t="shared" si="34"/>
        <v>15:00</v>
      </c>
      <c r="AF16" s="21" t="str">
        <f t="shared" si="34"/>
        <v>15:00</v>
      </c>
      <c r="AG16" s="21" t="str">
        <f t="shared" si="34"/>
        <v>15:00</v>
      </c>
      <c r="AH16" s="21" t="s">
        <v>11</v>
      </c>
      <c r="AI16" s="21" t="str">
        <f t="shared" si="34"/>
        <v>15:00</v>
      </c>
      <c r="AJ16" s="21" t="s">
        <v>31</v>
      </c>
      <c r="AK16" s="21" t="str">
        <f t="shared" si="34"/>
        <v>OFF</v>
      </c>
    </row>
    <row r="17" spans="1:37" ht="16.5" customHeight="1">
      <c r="A17" s="75"/>
      <c r="B17" s="75"/>
      <c r="C17" s="75"/>
      <c r="D17" s="77"/>
      <c r="E17" s="76" t="s">
        <v>12</v>
      </c>
      <c r="F17" s="76"/>
      <c r="G17" s="76"/>
      <c r="H17" s="76"/>
      <c r="I17" s="76"/>
      <c r="J17" s="27"/>
      <c r="K17" s="27"/>
      <c r="L17" s="27"/>
      <c r="M17" s="27"/>
      <c r="N17" s="27"/>
      <c r="O17" s="27"/>
      <c r="P17" s="27"/>
      <c r="Q17" s="27" t="s">
        <v>29</v>
      </c>
      <c r="R17" s="27"/>
      <c r="S17" s="27"/>
      <c r="T17" s="27"/>
      <c r="U17" s="27"/>
      <c r="V17" s="27"/>
      <c r="W17" s="27"/>
      <c r="X17" s="27"/>
      <c r="Y17" s="27"/>
      <c r="Z17" s="27"/>
      <c r="AA17" s="27" t="s">
        <v>29</v>
      </c>
      <c r="AB17" s="27"/>
      <c r="AC17" s="27"/>
      <c r="AD17" s="27"/>
      <c r="AE17" s="27" t="s">
        <v>29</v>
      </c>
      <c r="AF17" s="27" t="s">
        <v>29</v>
      </c>
      <c r="AG17" s="27"/>
      <c r="AH17" s="27"/>
      <c r="AI17" s="27" t="s">
        <v>29</v>
      </c>
      <c r="AJ17" s="27" t="s">
        <v>29</v>
      </c>
      <c r="AK17" s="27"/>
    </row>
    <row r="18" spans="1:37" ht="16.5" hidden="1" customHeight="1" thickBot="1">
      <c r="A18" s="66"/>
      <c r="B18" s="66"/>
      <c r="C18" s="66"/>
      <c r="D18" s="66"/>
      <c r="E18" s="67" t="s">
        <v>13</v>
      </c>
      <c r="F18" s="67"/>
      <c r="G18" s="67"/>
      <c r="H18" s="67"/>
      <c r="I18" s="67"/>
      <c r="J18" s="49">
        <f>J28-2</f>
        <v>1</v>
      </c>
      <c r="K18" s="49">
        <f>K28-5</f>
        <v>0</v>
      </c>
      <c r="L18" s="49">
        <f>L28-4</f>
        <v>0</v>
      </c>
      <c r="M18" s="49">
        <f>M28-3</f>
        <v>1</v>
      </c>
      <c r="N18" s="49">
        <f t="shared" ref="N18" si="35">N28-4</f>
        <v>0</v>
      </c>
      <c r="O18" s="49">
        <f>O28-4</f>
        <v>0</v>
      </c>
      <c r="P18" s="49">
        <f t="shared" ref="P18:AK18" si="36">P28-2</f>
        <v>1</v>
      </c>
      <c r="Q18" s="49">
        <f>Q28-2</f>
        <v>1</v>
      </c>
      <c r="R18" s="49">
        <f>R28-5</f>
        <v>0</v>
      </c>
      <c r="S18" s="49">
        <f>S28-4</f>
        <v>0</v>
      </c>
      <c r="T18" s="49">
        <f>T28-3</f>
        <v>1</v>
      </c>
      <c r="U18" s="49">
        <f>U28-4</f>
        <v>0</v>
      </c>
      <c r="V18" s="49">
        <f>V28-4</f>
        <v>0</v>
      </c>
      <c r="W18" s="49">
        <f t="shared" si="36"/>
        <v>0</v>
      </c>
      <c r="X18" s="49">
        <f t="shared" si="36"/>
        <v>0</v>
      </c>
      <c r="Y18" s="49">
        <f t="shared" si="36"/>
        <v>1</v>
      </c>
      <c r="Z18" s="49">
        <f t="shared" si="36"/>
        <v>0</v>
      </c>
      <c r="AA18" s="49">
        <f t="shared" si="36"/>
        <v>1</v>
      </c>
      <c r="AB18" s="49">
        <f>AB28-3</f>
        <v>1</v>
      </c>
      <c r="AC18" s="49">
        <f>AC28-4</f>
        <v>0</v>
      </c>
      <c r="AD18" s="49">
        <f t="shared" si="36"/>
        <v>0</v>
      </c>
      <c r="AE18" s="49">
        <f t="shared" si="36"/>
        <v>0</v>
      </c>
      <c r="AF18" s="49"/>
      <c r="AG18" s="49">
        <f>AG28-5</f>
        <v>0</v>
      </c>
      <c r="AH18" s="49">
        <f>AH28-3</f>
        <v>0</v>
      </c>
      <c r="AI18" s="49"/>
      <c r="AJ18" s="49">
        <f>AJ28-4</f>
        <v>0</v>
      </c>
      <c r="AK18" s="49">
        <f t="shared" si="36"/>
        <v>1</v>
      </c>
    </row>
    <row r="19" spans="1:37" ht="16.5" customHeight="1">
      <c r="A19" s="40" t="s">
        <v>33</v>
      </c>
      <c r="B19" s="41" t="s">
        <v>34</v>
      </c>
      <c r="C19" s="69" t="s">
        <v>35</v>
      </c>
      <c r="D19" s="69"/>
      <c r="E19" s="60" cm="1">
        <f t="array" ref="E19">SUMPRODUCT(ISNUMBER(FIND("00:00",J19:AK19))*1+ISNUMBER(FIND("09:00",J19:AK19))*1+ISNUMBER(FIND("12:00",J19:AK19))*1+ISNUMBER(FIND("12:00PM",J19:AK19))*1+ISNUMBER(FIND("13:00",J19:AK19))*1+ISNUMBER(FIND("15:00",J19:AK19))*1)</f>
        <v>16</v>
      </c>
      <c r="F19" s="42">
        <v>11</v>
      </c>
      <c r="G19" s="42" cm="1">
        <f t="array" ref="G19">SUMPRODUCT(ISNUMBER(FIND("PTO",J19:AK19))*1+ISNUMBER(FIND("上特",J19:AK19))*0.5+ISNUMBER(FIND("下特",J19:AK19))*0.5)-H19</f>
        <v>0</v>
      </c>
      <c r="H19" s="42">
        <v>0</v>
      </c>
      <c r="I19" s="42">
        <v>0</v>
      </c>
      <c r="J19" s="43" t="s">
        <v>4</v>
      </c>
      <c r="K19" s="43" t="s">
        <v>4</v>
      </c>
      <c r="L19" s="61" t="s">
        <v>18</v>
      </c>
      <c r="M19" s="61" t="s">
        <v>18</v>
      </c>
      <c r="N19" s="61" t="s">
        <v>18</v>
      </c>
      <c r="O19" s="62" t="s">
        <v>19</v>
      </c>
      <c r="P19" s="61" t="s">
        <v>18</v>
      </c>
      <c r="Q19" s="43" t="s">
        <v>4</v>
      </c>
      <c r="R19" s="62" t="s">
        <v>19</v>
      </c>
      <c r="S19" s="43" t="s">
        <v>4</v>
      </c>
      <c r="T19" s="61" t="s">
        <v>18</v>
      </c>
      <c r="U19" s="61" t="s">
        <v>18</v>
      </c>
      <c r="V19" s="61" t="s">
        <v>18</v>
      </c>
      <c r="W19" s="61" t="s">
        <v>18</v>
      </c>
      <c r="X19" s="43" t="s">
        <v>4</v>
      </c>
      <c r="Y19" s="43" t="s">
        <v>4</v>
      </c>
      <c r="Z19" s="61" t="s">
        <v>18</v>
      </c>
      <c r="AA19" s="61" t="s">
        <v>18</v>
      </c>
      <c r="AB19" s="61" t="s">
        <v>18</v>
      </c>
      <c r="AC19" s="61" t="s">
        <v>18</v>
      </c>
      <c r="AD19" s="43" t="s">
        <v>4</v>
      </c>
      <c r="AE19" s="43" t="s">
        <v>4</v>
      </c>
      <c r="AF19" s="43" t="s">
        <v>4</v>
      </c>
      <c r="AG19" s="43" t="s">
        <v>4</v>
      </c>
      <c r="AH19" s="61" t="s">
        <v>36</v>
      </c>
      <c r="AI19" s="61" t="s">
        <v>18</v>
      </c>
      <c r="AJ19" s="61" t="s">
        <v>18</v>
      </c>
      <c r="AK19" s="43" t="s">
        <v>4</v>
      </c>
    </row>
    <row r="20" spans="1:37" ht="16.5" customHeight="1">
      <c r="A20" s="40" t="s">
        <v>37</v>
      </c>
      <c r="B20" s="41" t="s">
        <v>38</v>
      </c>
      <c r="C20" s="69" t="s">
        <v>39</v>
      </c>
      <c r="D20" s="69"/>
      <c r="E20" s="60" cm="1">
        <f t="array" ref="E20">SUMPRODUCT(ISNUMBER(FIND("00:00",J20:AK20))*1+ISNUMBER(FIND("09:00",J20:AK20))*1+ISNUMBER(FIND("12:00",J20:AK20))*1+ISNUMBER(FIND("12:00PM",J20:AK20))*1+ISNUMBER(FIND("13:00",J20:AK20))*1+ISNUMBER(FIND("15:00",J20:AK20))*1)</f>
        <v>12</v>
      </c>
      <c r="F20" s="42">
        <v>14</v>
      </c>
      <c r="G20" s="42" cm="1">
        <f t="array" ref="G20">SUMPRODUCT(ISNUMBER(FIND("PTO",J20:AK20))*1+ISNUMBER(FIND("上特",J20:AK20))*0.5+ISNUMBER(FIND("下特",J20:AK20))*0.5)-H20</f>
        <v>2</v>
      </c>
      <c r="H20" s="42">
        <v>0</v>
      </c>
      <c r="I20" s="42">
        <v>0</v>
      </c>
      <c r="J20" s="43" t="s">
        <v>4</v>
      </c>
      <c r="K20" s="61" t="s">
        <v>19</v>
      </c>
      <c r="L20" s="61" t="s">
        <v>19</v>
      </c>
      <c r="M20" s="61" t="s">
        <v>19</v>
      </c>
      <c r="N20" s="61" t="s">
        <v>19</v>
      </c>
      <c r="O20" s="44" t="s">
        <v>5</v>
      </c>
      <c r="P20" s="43" t="s">
        <v>4</v>
      </c>
      <c r="Q20" s="43" t="s">
        <v>4</v>
      </c>
      <c r="R20" s="44" t="s">
        <v>5</v>
      </c>
      <c r="S20" s="61" t="s">
        <v>19</v>
      </c>
      <c r="T20" s="61" t="s">
        <v>19</v>
      </c>
      <c r="U20" s="61" t="s">
        <v>19</v>
      </c>
      <c r="V20" s="61" t="s">
        <v>19</v>
      </c>
      <c r="W20" s="43" t="s">
        <v>4</v>
      </c>
      <c r="X20" s="43" t="s">
        <v>4</v>
      </c>
      <c r="Y20" s="43" t="s">
        <v>4</v>
      </c>
      <c r="Z20" s="43" t="s">
        <v>4</v>
      </c>
      <c r="AA20" s="43" t="s">
        <v>4</v>
      </c>
      <c r="AB20" s="43" t="s">
        <v>4</v>
      </c>
      <c r="AC20" s="43" t="s">
        <v>4</v>
      </c>
      <c r="AD20" s="43" t="s">
        <v>4</v>
      </c>
      <c r="AE20" s="43" t="s">
        <v>4</v>
      </c>
      <c r="AF20" s="61" t="s">
        <v>19</v>
      </c>
      <c r="AG20" s="61" t="s">
        <v>19</v>
      </c>
      <c r="AH20" s="61" t="s">
        <v>19</v>
      </c>
      <c r="AI20" s="61" t="s">
        <v>19</v>
      </c>
      <c r="AJ20" s="43" t="s">
        <v>4</v>
      </c>
      <c r="AK20" s="43" t="s">
        <v>4</v>
      </c>
    </row>
    <row r="21" spans="1:37" ht="16.5" customHeight="1">
      <c r="D21" s="13"/>
      <c r="E21" s="13"/>
      <c r="F21" s="13"/>
      <c r="I21" s="13"/>
      <c r="J21" s="26"/>
      <c r="Y21" s="63" t="s">
        <v>40</v>
      </c>
      <c r="Z21" s="63"/>
      <c r="AA21" s="63"/>
      <c r="AB21" s="64" t="s">
        <v>41</v>
      </c>
      <c r="AC21" s="64"/>
    </row>
    <row r="22" spans="1:37" ht="16.5" hidden="1" customHeight="1" thickBot="1">
      <c r="A22" s="13"/>
      <c r="B22" s="13"/>
      <c r="C22" s="13"/>
      <c r="D22" s="13"/>
      <c r="E22" s="13"/>
      <c r="F22" s="13"/>
      <c r="G22" s="13"/>
      <c r="H22" s="13"/>
      <c r="J22" s="20" t="str">
        <f t="shared" ref="J22:AK22" si="37">J1</f>
        <v>Sun</v>
      </c>
      <c r="K22" s="20" t="str">
        <f t="shared" si="37"/>
        <v>Mon</v>
      </c>
      <c r="L22" s="20" t="str">
        <f t="shared" si="37"/>
        <v>Tue</v>
      </c>
      <c r="M22" s="20" t="str">
        <f t="shared" si="37"/>
        <v>Wed</v>
      </c>
      <c r="N22" s="20" t="str">
        <f t="shared" si="37"/>
        <v>Thu</v>
      </c>
      <c r="O22" s="20" t="str">
        <f t="shared" si="37"/>
        <v>Fri</v>
      </c>
      <c r="P22" s="20" t="str">
        <f t="shared" si="37"/>
        <v>Sat</v>
      </c>
      <c r="Q22" s="20" t="str">
        <f t="shared" si="37"/>
        <v>Sun</v>
      </c>
      <c r="R22" s="20" t="str">
        <f t="shared" si="37"/>
        <v>Mon</v>
      </c>
      <c r="S22" s="20" t="str">
        <f t="shared" si="37"/>
        <v>Tue</v>
      </c>
      <c r="T22" s="20" t="str">
        <f t="shared" si="37"/>
        <v>Wed</v>
      </c>
      <c r="U22" s="20" t="str">
        <f t="shared" si="37"/>
        <v>Thu</v>
      </c>
      <c r="V22" s="20" t="str">
        <f t="shared" si="37"/>
        <v>Fri</v>
      </c>
      <c r="W22" s="20" t="str">
        <f t="shared" si="37"/>
        <v>Sat</v>
      </c>
      <c r="X22" s="20" t="str">
        <f t="shared" si="37"/>
        <v>Sun</v>
      </c>
      <c r="Y22" s="20" t="str">
        <f t="shared" si="37"/>
        <v>Mon</v>
      </c>
      <c r="Z22" s="20" t="str">
        <f t="shared" si="37"/>
        <v>Tue</v>
      </c>
      <c r="AA22" s="20" t="str">
        <f t="shared" si="37"/>
        <v>Wed</v>
      </c>
      <c r="AB22" s="20" t="str">
        <f t="shared" si="37"/>
        <v>Thu</v>
      </c>
      <c r="AC22" s="20" t="str">
        <f t="shared" si="37"/>
        <v>Fri</v>
      </c>
      <c r="AD22" s="20" t="str">
        <f t="shared" si="37"/>
        <v>Sat</v>
      </c>
      <c r="AE22" s="20" t="str">
        <f t="shared" si="37"/>
        <v>Sun</v>
      </c>
      <c r="AF22" s="20" t="str">
        <f t="shared" si="37"/>
        <v>Mon</v>
      </c>
      <c r="AG22" s="20" t="str">
        <f t="shared" si="37"/>
        <v>Tue</v>
      </c>
      <c r="AH22" s="20" t="str">
        <f t="shared" si="37"/>
        <v>Wed</v>
      </c>
      <c r="AI22" s="20" t="str">
        <f t="shared" si="37"/>
        <v>Thu</v>
      </c>
      <c r="AJ22" s="20" t="str">
        <f t="shared" si="37"/>
        <v>Fri</v>
      </c>
      <c r="AK22" s="20" t="str">
        <f t="shared" si="37"/>
        <v>Sat</v>
      </c>
    </row>
    <row r="23" spans="1:37" ht="16.5" hidden="1" customHeight="1" thickBot="1">
      <c r="A23" s="13"/>
      <c r="B23" s="13"/>
      <c r="C23" s="13"/>
      <c r="D23" s="13"/>
      <c r="E23" s="13"/>
      <c r="F23" s="13"/>
      <c r="G23" s="13"/>
      <c r="H23" s="13"/>
      <c r="I23" s="50">
        <v>0</v>
      </c>
      <c r="J23" s="54" cm="1">
        <f t="array" ref="J23">SUMPRODUCT(ISNUMBER(FIND("00:00",J3:J4))*1)+SUMPRODUCT(ISNUMBER(FIND("00:00",J6:J17))*1)</f>
        <v>0</v>
      </c>
      <c r="K23" s="54" cm="1">
        <f t="array" ref="K23">SUMPRODUCT(ISNUMBER(FIND("00:00",K3:K4))*1)+SUMPRODUCT(ISNUMBER(FIND("00:00",K6:K17))*1)</f>
        <v>1</v>
      </c>
      <c r="L23" s="54" cm="1">
        <f t="array" ref="L23">SUMPRODUCT(ISNUMBER(FIND("00:00",L3:L4))*1)+SUMPRODUCT(ISNUMBER(FIND("00:00",L6:L17))*1)</f>
        <v>1</v>
      </c>
      <c r="M23" s="54" cm="1">
        <f t="array" ref="M23">SUMPRODUCT(ISNUMBER(FIND("00:00",M3:M4))*1)+SUMPRODUCT(ISNUMBER(FIND("00:00",M6:M17))*1)</f>
        <v>1</v>
      </c>
      <c r="N23" s="54" cm="1">
        <f t="array" ref="N23">SUMPRODUCT(ISNUMBER(FIND("00:00",N3:N4))*1)+SUMPRODUCT(ISNUMBER(FIND("00:00",N6:N17))*1)</f>
        <v>1</v>
      </c>
      <c r="O23" s="54" cm="1">
        <f t="array" ref="O23">SUMPRODUCT(ISNUMBER(FIND("00:00",O3:O4))*1)+SUMPRODUCT(ISNUMBER(FIND("00:00",O6:O17))*1)</f>
        <v>1</v>
      </c>
      <c r="P23" s="54" cm="1">
        <f t="array" ref="P23">SUMPRODUCT(ISNUMBER(FIND("00:00",P3:P4))*1)+SUMPRODUCT(ISNUMBER(FIND("00:00",P6:P17))*1)</f>
        <v>0</v>
      </c>
      <c r="Q23" s="54" cm="1">
        <f t="array" ref="Q23">SUMPRODUCT(ISNUMBER(FIND("00:00",Q3:Q4))*1)+SUMPRODUCT(ISNUMBER(FIND("00:00",Q6:Q17))*1)</f>
        <v>0</v>
      </c>
      <c r="R23" s="54" cm="1">
        <f t="array" ref="R23">SUMPRODUCT(ISNUMBER(FIND("00:00",R3:R4))*1)+SUMPRODUCT(ISNUMBER(FIND("00:00",R6:R17))*1)</f>
        <v>0</v>
      </c>
      <c r="S23" s="54" cm="1">
        <f t="array" ref="S23">SUMPRODUCT(ISNUMBER(FIND("00:00",S3:S4))*1)+SUMPRODUCT(ISNUMBER(FIND("00:00",S6:S17))*1)</f>
        <v>1</v>
      </c>
      <c r="T23" s="54" cm="1">
        <f t="array" ref="T23">SUMPRODUCT(ISNUMBER(FIND("00:00",T3:T4))*1)+SUMPRODUCT(ISNUMBER(FIND("00:00",T6:T17))*1)</f>
        <v>1</v>
      </c>
      <c r="U23" s="54" cm="1">
        <f t="array" ref="U23">SUMPRODUCT(ISNUMBER(FIND("00:00",U3:U4))*1)+SUMPRODUCT(ISNUMBER(FIND("00:00",U6:U17))*1)</f>
        <v>1</v>
      </c>
      <c r="V23" s="54" cm="1">
        <f t="array" ref="V23">SUMPRODUCT(ISNUMBER(FIND("00:00",V3:V4))*1)+SUMPRODUCT(ISNUMBER(FIND("00:00",V6:V17))*1)</f>
        <v>1</v>
      </c>
      <c r="W23" s="54" cm="1">
        <f t="array" ref="W23">SUMPRODUCT(ISNUMBER(FIND("00:00",W3:W4))*1)+SUMPRODUCT(ISNUMBER(FIND("00:00",W6:W17))*1)</f>
        <v>0</v>
      </c>
      <c r="X23" s="54" cm="1">
        <f t="array" ref="X23">SUMPRODUCT(ISNUMBER(FIND("00:00",X3:X4))*1)+SUMPRODUCT(ISNUMBER(FIND("00:00",X6:X17))*1)</f>
        <v>0</v>
      </c>
      <c r="Y23" s="54" cm="1">
        <f t="array" ref="Y23">SUMPRODUCT(ISNUMBER(FIND("00:00",Y3:Y4))*1)+SUMPRODUCT(ISNUMBER(FIND("00:00",Y6:Y17))*1)</f>
        <v>0</v>
      </c>
      <c r="Z23" s="54" cm="1">
        <f t="array" ref="Z23">SUMPRODUCT(ISNUMBER(FIND("00:00",Z3:Z4))*1)+SUMPRODUCT(ISNUMBER(FIND("00:00",Z6:Z17))*1)</f>
        <v>0</v>
      </c>
      <c r="AA23" s="54" cm="1">
        <f t="array" ref="AA23">SUMPRODUCT(ISNUMBER(FIND("00:00",AA3:AA4))*1)+SUMPRODUCT(ISNUMBER(FIND("00:00",AA6:AA17))*1)</f>
        <v>1</v>
      </c>
      <c r="AB23" s="54" cm="1">
        <f t="array" ref="AB23">SUMPRODUCT(ISNUMBER(FIND("00:00",AB3:AB4))*1)+SUMPRODUCT(ISNUMBER(FIND("00:00",AB6:AB17))*1)</f>
        <v>1</v>
      </c>
      <c r="AC23" s="54" cm="1">
        <f t="array" ref="AC23">SUMPRODUCT(ISNUMBER(FIND("00:00",AC3:AC4))*1)+SUMPRODUCT(ISNUMBER(FIND("00:00",AC6:AC17))*1)</f>
        <v>1</v>
      </c>
      <c r="AD23" s="54" cm="1">
        <f t="array" ref="AD23">SUMPRODUCT(ISNUMBER(FIND("00:00",AD3:AD4))*1)+SUMPRODUCT(ISNUMBER(FIND("00:00",AD6:AD17))*1)</f>
        <v>0</v>
      </c>
      <c r="AE23" s="54" cm="1">
        <f t="array" ref="AE23">SUMPRODUCT(ISNUMBER(FIND("00:00",AE3:AE4))*1)+SUMPRODUCT(ISNUMBER(FIND("00:00",AE6:AE17))*1)</f>
        <v>0</v>
      </c>
      <c r="AF23" s="54" cm="1">
        <f t="array" ref="AF23">SUMPRODUCT(ISNUMBER(FIND("00:00",AF3:AF4))*1)+SUMPRODUCT(ISNUMBER(FIND("00:00",AF6:AF17))*1)</f>
        <v>1</v>
      </c>
      <c r="AG23" s="54" cm="1">
        <f t="array" ref="AG23">SUMPRODUCT(ISNUMBER(FIND("00:00",AG3:AG4))*1)+SUMPRODUCT(ISNUMBER(FIND("00:00",AG6:AG17))*1)</f>
        <v>1</v>
      </c>
      <c r="AH23" s="54" cm="1">
        <f t="array" ref="AH23">SUMPRODUCT(ISNUMBER(FIND("00:00",AH3:AH4))*1)+SUMPRODUCT(ISNUMBER(FIND("00:00",AH6:AH17))*1)</f>
        <v>1</v>
      </c>
      <c r="AI23" s="54" cm="1">
        <f t="array" ref="AI23">SUMPRODUCT(ISNUMBER(FIND("00:00",AI3:AI4))*1)+SUMPRODUCT(ISNUMBER(FIND("00:00",AI6:AI17))*1)</f>
        <v>1</v>
      </c>
      <c r="AJ23" s="54" cm="1">
        <f t="array" ref="AJ23">SUMPRODUCT(ISNUMBER(FIND("00:00",AJ3:AJ4))*1)+SUMPRODUCT(ISNUMBER(FIND("00:00",AJ6:AJ17))*1)</f>
        <v>1</v>
      </c>
      <c r="AK23" s="54" cm="1">
        <f t="array" ref="AK23">SUMPRODUCT(ISNUMBER(FIND("00:00",AK3:AK4))*1)+SUMPRODUCT(ISNUMBER(FIND("00:00",AK6:AK17))*1)</f>
        <v>0</v>
      </c>
    </row>
    <row r="24" spans="1:37" ht="16.5" hidden="1" customHeight="1" thickBot="1">
      <c r="A24" s="13"/>
      <c r="B24" s="13"/>
      <c r="C24" s="13"/>
      <c r="D24" s="13"/>
      <c r="E24" s="13"/>
      <c r="F24" s="13"/>
      <c r="G24" s="13"/>
      <c r="H24" s="13"/>
      <c r="I24" s="51">
        <v>0.375</v>
      </c>
      <c r="J24" s="54" cm="1">
        <f t="array" ref="J24">SUMPRODUCT(--ISNUMBER(FIND("09:00",J12:J17)))
+ SUMPRODUCT(--ISNUMBER(FIND("09:00",J6:J11)))</f>
        <v>1</v>
      </c>
      <c r="K24" s="54" cm="1">
        <f t="array" ref="K24">SUMPRODUCT(--ISNUMBER(FIND("09:00",K12:K17)))
+ SUMPRODUCT(--ISNUMBER(FIND("09:00",K6:K11)))</f>
        <v>3</v>
      </c>
      <c r="L24" s="54" cm="1">
        <f t="array" ref="L24">SUMPRODUCT(--ISNUMBER(FIND("09:00",L12:L17)))
+ SUMPRODUCT(--ISNUMBER(FIND("09:00",L6:L11)))</f>
        <v>2</v>
      </c>
      <c r="M24" s="54" cm="1">
        <f t="array" ref="M24">SUMPRODUCT(--ISNUMBER(FIND("09:00",M12:M17)))
+ SUMPRODUCT(--ISNUMBER(FIND("09:00",M6:M11)))</f>
        <v>2</v>
      </c>
      <c r="N24" s="54" cm="1">
        <f t="array" ref="N24">SUMPRODUCT(--ISNUMBER(FIND("09:00",N12:N17)))
+ SUMPRODUCT(--ISNUMBER(FIND("09:00",N6:N11)))</f>
        <v>2</v>
      </c>
      <c r="O24" s="54" cm="1">
        <f t="array" ref="O24">SUMPRODUCT(--ISNUMBER(FIND("09:00",O12:O17)))
+ SUMPRODUCT(--ISNUMBER(FIND("09:00",O6:O11)))</f>
        <v>2</v>
      </c>
      <c r="P24" s="54" cm="1">
        <f t="array" ref="P24">SUMPRODUCT(--ISNUMBER(FIND("09:00",P12:P17)))
+ SUMPRODUCT(--ISNUMBER(FIND("09:00",P6:P11)))</f>
        <v>1</v>
      </c>
      <c r="Q24" s="54" cm="1">
        <f t="array" ref="Q24">SUMPRODUCT(--ISNUMBER(FIND("09:00",Q12:Q17)))
+ SUMPRODUCT(--ISNUMBER(FIND("09:00",Q6:Q11)))</f>
        <v>1</v>
      </c>
      <c r="R24" s="54" cm="1">
        <f t="array" ref="R24">SUMPRODUCT(--ISNUMBER(FIND("09:00",R12:R17)))
+ SUMPRODUCT(--ISNUMBER(FIND("09:00",R6:R11)))</f>
        <v>3</v>
      </c>
      <c r="S24" s="54" cm="1">
        <f t="array" ref="S24">SUMPRODUCT(--ISNUMBER(FIND("09:00",S12:S17)))
+ SUMPRODUCT(--ISNUMBER(FIND("09:00",S6:S11)))</f>
        <v>2</v>
      </c>
      <c r="T24" s="54" cm="1">
        <f t="array" ref="T24">SUMPRODUCT(--ISNUMBER(FIND("09:00",T12:T17)))
+ SUMPRODUCT(--ISNUMBER(FIND("09:00",T6:T11)))</f>
        <v>2</v>
      </c>
      <c r="U24" s="54" cm="1">
        <f t="array" ref="U24">SUMPRODUCT(--ISNUMBER(FIND("09:00",U12:U17)))
+ SUMPRODUCT(--ISNUMBER(FIND("09:00",U6:U11)))</f>
        <v>2</v>
      </c>
      <c r="V24" s="54" cm="1">
        <f t="array" ref="V24">SUMPRODUCT(--ISNUMBER(FIND("09:00",V12:V17)))
+ SUMPRODUCT(--ISNUMBER(FIND("09:00",V6:V11)))</f>
        <v>2</v>
      </c>
      <c r="W24" s="54" cm="1">
        <f t="array" ref="W24">SUMPRODUCT(--ISNUMBER(FIND("09:00",W12:W17)))
+ SUMPRODUCT(--ISNUMBER(FIND("09:00",W6:W11)))</f>
        <v>1</v>
      </c>
      <c r="X24" s="54" cm="1">
        <f t="array" ref="X24">SUMPRODUCT(--ISNUMBER(FIND("09:00",X12:X17)))
+ SUMPRODUCT(--ISNUMBER(FIND("09:00",X6:X11)))</f>
        <v>1</v>
      </c>
      <c r="Y24" s="54" cm="1">
        <f t="array" ref="Y24">SUMPRODUCT(--ISNUMBER(FIND("09:00",Y12:Y17)))
+ SUMPRODUCT(--ISNUMBER(FIND("09:00",Y6:Y11)))</f>
        <v>2</v>
      </c>
      <c r="Z24" s="54" cm="1">
        <f t="array" ref="Z24">SUMPRODUCT(--ISNUMBER(FIND("09:00",Z12:Z17)))
+ SUMPRODUCT(--ISNUMBER(FIND("09:00",Z6:Z11)))</f>
        <v>1</v>
      </c>
      <c r="AA24" s="54" cm="1">
        <f t="array" ref="AA24">SUMPRODUCT(--ISNUMBER(FIND("09:00",AA12:AA17)))
+ SUMPRODUCT(--ISNUMBER(FIND("09:00",AA6:AA11)))</f>
        <v>1</v>
      </c>
      <c r="AB24" s="54" cm="1">
        <f t="array" ref="AB24">SUMPRODUCT(--ISNUMBER(FIND("09:00",AB12:AB17)))
+ SUMPRODUCT(--ISNUMBER(FIND("09:00",AB6:AB11)))</f>
        <v>2</v>
      </c>
      <c r="AC24" s="54" cm="1">
        <f t="array" ref="AC24">SUMPRODUCT(--ISNUMBER(FIND("09:00",AC12:AC17)))
+ SUMPRODUCT(--ISNUMBER(FIND("09:00",AC6:AC11)))</f>
        <v>2</v>
      </c>
      <c r="AD24" s="54" cm="1">
        <f t="array" ref="AD24">SUMPRODUCT(--ISNUMBER(FIND("09:00",AD12:AD17)))
+ SUMPRODUCT(--ISNUMBER(FIND("09:00",AD6:AD11)))</f>
        <v>1</v>
      </c>
      <c r="AE24" s="54" cm="1">
        <f t="array" ref="AE24">SUMPRODUCT(--ISNUMBER(FIND("09:00",AE12:AE17)))
+ SUMPRODUCT(--ISNUMBER(FIND("09:00",AE6:AE11)))</f>
        <v>1</v>
      </c>
      <c r="AF24" s="54" cm="1">
        <f t="array" ref="AF24">SUMPRODUCT(--ISNUMBER(FIND("09:00",AF12:AF17)))
+ SUMPRODUCT(--ISNUMBER(FIND("09:00",AF6:AF11)))</f>
        <v>2</v>
      </c>
      <c r="AG24" s="54" cm="1">
        <f t="array" ref="AG24">SUMPRODUCT(--ISNUMBER(FIND("09:00",AG12:AG17)))
+ SUMPRODUCT(--ISNUMBER(FIND("09:00",AG6:AG11)))</f>
        <v>1</v>
      </c>
      <c r="AH24" s="54" cm="1">
        <f t="array" ref="AH24">SUMPRODUCT(--ISNUMBER(FIND("09:00",AH12:AH17)))
+ SUMPRODUCT(--ISNUMBER(FIND("09:00",AH6:AH11)))</f>
        <v>1</v>
      </c>
      <c r="AI24" s="54" cm="1">
        <f t="array" ref="AI24">SUMPRODUCT(--ISNUMBER(FIND("09:00",AI12:AI17)))
+ SUMPRODUCT(--ISNUMBER(FIND("09:00",AI6:AI11)))</f>
        <v>1</v>
      </c>
      <c r="AJ24" s="54" cm="1">
        <f t="array" ref="AJ24">SUMPRODUCT(--ISNUMBER(FIND("09:00",AJ12:AJ17)))
+ SUMPRODUCT(--ISNUMBER(FIND("09:00",AJ6:AJ11)))</f>
        <v>1</v>
      </c>
      <c r="AK24" s="54" cm="1">
        <f t="array" ref="AK24">SUMPRODUCT(--ISNUMBER(FIND("09:00",AK12:AK17)))
+ SUMPRODUCT(--ISNUMBER(FIND("09:00",AK6:AK11)))</f>
        <v>1</v>
      </c>
    </row>
    <row r="25" spans="1:37" ht="16.5" hidden="1" customHeight="1" thickBot="1">
      <c r="B25" s="13"/>
      <c r="D25" s="13"/>
      <c r="E25" s="13"/>
      <c r="F25" s="13"/>
      <c r="G25" s="13"/>
      <c r="H25" s="13"/>
      <c r="I25" s="51">
        <v>0.5</v>
      </c>
      <c r="J25" s="54" cm="1">
        <f t="array" ref="J25">SUMPRODUCT(ISNUMBER(FIND("12:00",J6:J17))*1)</f>
        <v>0</v>
      </c>
      <c r="K25" s="54" cm="1">
        <f t="array" ref="K25">SUMPRODUCT(ISNUMBER(FIND("12:00",K6:K17))*1)</f>
        <v>0</v>
      </c>
      <c r="L25" s="54" cm="1">
        <f t="array" ref="L25">SUMPRODUCT(ISNUMBER(FIND("12:00",L6:L17))*1)</f>
        <v>0</v>
      </c>
      <c r="M25" s="54" cm="1">
        <f t="array" ref="M25">SUMPRODUCT(ISNUMBER(FIND("12:00",M6:M17))*1)</f>
        <v>0</v>
      </c>
      <c r="N25" s="54" cm="1">
        <f t="array" ref="N25">SUMPRODUCT(ISNUMBER(FIND("12:00",N6:N17))*1)</f>
        <v>0</v>
      </c>
      <c r="O25" s="54" cm="1">
        <f t="array" ref="O25">SUMPRODUCT(ISNUMBER(FIND("12:00",O6:O17))*1)</f>
        <v>0</v>
      </c>
      <c r="P25" s="54" cm="1">
        <f t="array" ref="P25">SUMPRODUCT(ISNUMBER(FIND("12:00",P6:P17))*1)</f>
        <v>0</v>
      </c>
      <c r="Q25" s="54" cm="1">
        <f t="array" ref="Q25">SUMPRODUCT(ISNUMBER(FIND("12:00",Q6:Q17))*1)</f>
        <v>0</v>
      </c>
      <c r="R25" s="54" cm="1">
        <f t="array" ref="R25">SUMPRODUCT(ISNUMBER(FIND("12:00",R6:R17))*1)</f>
        <v>0</v>
      </c>
      <c r="S25" s="54" cm="1">
        <f t="array" ref="S25">SUMPRODUCT(ISNUMBER(FIND("12:00",S6:S17))*1)</f>
        <v>0</v>
      </c>
      <c r="T25" s="54" cm="1">
        <f t="array" ref="T25">SUMPRODUCT(ISNUMBER(FIND("12:00",T6:T17))*1)</f>
        <v>0</v>
      </c>
      <c r="U25" s="54" cm="1">
        <f t="array" ref="U25">SUMPRODUCT(ISNUMBER(FIND("12:00",U6:U17))*1)</f>
        <v>0</v>
      </c>
      <c r="V25" s="54" cm="1">
        <f t="array" ref="V25">SUMPRODUCT(ISNUMBER(FIND("12:00",V6:V17))*1)</f>
        <v>0</v>
      </c>
      <c r="W25" s="54" cm="1">
        <f t="array" ref="W25">SUMPRODUCT(ISNUMBER(FIND("12:00",W6:W17))*1)</f>
        <v>0</v>
      </c>
      <c r="X25" s="54" cm="1">
        <f t="array" ref="X25">SUMPRODUCT(ISNUMBER(FIND("12:00",X6:X17))*1)</f>
        <v>0</v>
      </c>
      <c r="Y25" s="54" cm="1">
        <f t="array" ref="Y25">SUMPRODUCT(ISNUMBER(FIND("12:00",Y6:Y17))*1)</f>
        <v>0</v>
      </c>
      <c r="Z25" s="54" cm="1">
        <f t="array" ref="Z25">SUMPRODUCT(ISNUMBER(FIND("12:00",Z6:Z17))*1)</f>
        <v>0</v>
      </c>
      <c r="AA25" s="54" cm="1">
        <f t="array" ref="AA25">SUMPRODUCT(ISNUMBER(FIND("12:00",AA6:AA17))*1)</f>
        <v>0</v>
      </c>
      <c r="AB25" s="54" cm="1">
        <f t="array" ref="AB25">SUMPRODUCT(ISNUMBER(FIND("12:00",AB6:AB17))*1)</f>
        <v>0</v>
      </c>
      <c r="AC25" s="54" cm="1">
        <f t="array" ref="AC25">SUMPRODUCT(ISNUMBER(FIND("12:00",AC6:AC17))*1)</f>
        <v>0</v>
      </c>
      <c r="AD25" s="54" cm="1">
        <f t="array" ref="AD25">SUMPRODUCT(ISNUMBER(FIND("12:00",AD6:AD17))*1)</f>
        <v>0</v>
      </c>
      <c r="AE25" s="54" cm="1">
        <f t="array" ref="AE25">SUMPRODUCT(ISNUMBER(FIND("12:00",AE6:AE17))*1)</f>
        <v>0</v>
      </c>
      <c r="AF25" s="54" cm="1">
        <f t="array" ref="AF25">SUMPRODUCT(ISNUMBER(FIND("12:00",AF6:AF17))*1)</f>
        <v>1</v>
      </c>
      <c r="AG25" s="54" cm="1">
        <f t="array" ref="AG25">SUMPRODUCT(ISNUMBER(FIND("12:00",AG6:AG17))*1)</f>
        <v>2</v>
      </c>
      <c r="AH25" s="54" cm="1">
        <f t="array" ref="AH25">SUMPRODUCT(ISNUMBER(FIND("12:00",AH6:AH17))*1)</f>
        <v>1</v>
      </c>
      <c r="AI25" s="54" cm="1">
        <f t="array" ref="AI25">SUMPRODUCT(ISNUMBER(FIND("12:00",AI6:AI17))*1)</f>
        <v>1</v>
      </c>
      <c r="AJ25" s="54" cm="1">
        <f t="array" ref="AJ25">SUMPRODUCT(ISNUMBER(FIND("12:00",AJ6:AJ17))*1)</f>
        <v>1</v>
      </c>
      <c r="AK25" s="54" cm="1">
        <f t="array" ref="AK25">SUMPRODUCT(ISNUMBER(FIND("12:00",AK6:AK17))*1)</f>
        <v>0</v>
      </c>
    </row>
    <row r="26" spans="1:37" ht="16.5" hidden="1" customHeight="1" thickBot="1">
      <c r="D26" s="13"/>
      <c r="E26" s="13"/>
      <c r="F26" s="13"/>
      <c r="G26" s="13"/>
      <c r="H26" s="13"/>
      <c r="I26" s="52">
        <v>0.625</v>
      </c>
      <c r="J26" s="54" cm="1">
        <f t="array" ref="J26">SUMPRODUCT(ISNUMBER(FIND("15:00",J6:J17))*1)</f>
        <v>2</v>
      </c>
      <c r="K26" s="54" cm="1">
        <f t="array" ref="K26">SUMPRODUCT(ISNUMBER(FIND("15:00",K6:K17))*1)</f>
        <v>2</v>
      </c>
      <c r="L26" s="54" cm="1">
        <f t="array" ref="L26">SUMPRODUCT(ISNUMBER(FIND("15:00",L6:L17))*1)</f>
        <v>2</v>
      </c>
      <c r="M26" s="54" cm="1">
        <f t="array" ref="M26">SUMPRODUCT(ISNUMBER(FIND("15:00",M6:M17))*1)</f>
        <v>2</v>
      </c>
      <c r="N26" s="54" cm="1">
        <f t="array" ref="N26">SUMPRODUCT(ISNUMBER(FIND("15:00",N6:N17))*1)</f>
        <v>2</v>
      </c>
      <c r="O26" s="54" cm="1">
        <f t="array" ref="O26">SUMPRODUCT(ISNUMBER(FIND("15:00",O6:O17))*1)</f>
        <v>2</v>
      </c>
      <c r="P26" s="54" cm="1">
        <f t="array" ref="P26">SUMPRODUCT(ISNUMBER(FIND("15:00",P6:P17))*1)</f>
        <v>2</v>
      </c>
      <c r="Q26" s="54" cm="1">
        <f t="array" ref="Q26">SUMPRODUCT(ISNUMBER(FIND("15:00",Q6:Q17))*1)</f>
        <v>2</v>
      </c>
      <c r="R26" s="54" cm="1">
        <f t="array" ref="R26">SUMPRODUCT(ISNUMBER(FIND("15:00",R6:R17))*1)</f>
        <v>2</v>
      </c>
      <c r="S26" s="54" cm="1">
        <f t="array" ref="S26">SUMPRODUCT(ISNUMBER(FIND("15:00",S6:S17))*1)</f>
        <v>2</v>
      </c>
      <c r="T26" s="54" cm="1">
        <f t="array" ref="T26">SUMPRODUCT(ISNUMBER(FIND("15:00",T6:T17))*1)</f>
        <v>2</v>
      </c>
      <c r="U26" s="54" cm="1">
        <f t="array" ref="U26">SUMPRODUCT(ISNUMBER(FIND("15:00",U6:U17))*1)</f>
        <v>2</v>
      </c>
      <c r="V26" s="54" cm="1">
        <f t="array" ref="V26">SUMPRODUCT(ISNUMBER(FIND("15:00",V6:V17))*1)</f>
        <v>2</v>
      </c>
      <c r="W26" s="54" cm="1">
        <f t="array" ref="W26">SUMPRODUCT(ISNUMBER(FIND("15:00",W6:W17))*1)</f>
        <v>1</v>
      </c>
      <c r="X26" s="54" cm="1">
        <f t="array" ref="X26">SUMPRODUCT(ISNUMBER(FIND("15:00",X6:X17))*1)</f>
        <v>1</v>
      </c>
      <c r="Y26" s="54" cm="1">
        <f t="array" ref="Y26">SUMPRODUCT(ISNUMBER(FIND("15:00",Y6:Y17))*1)</f>
        <v>1</v>
      </c>
      <c r="Z26" s="54" cm="1">
        <f t="array" ref="Z26">SUMPRODUCT(ISNUMBER(FIND("15:00",Z6:Z17))*1)</f>
        <v>1</v>
      </c>
      <c r="AA26" s="54" cm="1">
        <f t="array" ref="AA26">SUMPRODUCT(ISNUMBER(FIND("15:00",AA6:AA17))*1)</f>
        <v>2</v>
      </c>
      <c r="AB26" s="54" cm="1">
        <f t="array" ref="AB26">SUMPRODUCT(ISNUMBER(FIND("15:00",AB6:AB17))*1)</f>
        <v>2</v>
      </c>
      <c r="AC26" s="54" cm="1">
        <f t="array" ref="AC26">SUMPRODUCT(ISNUMBER(FIND("15:00",AC6:AC17))*1)</f>
        <v>2</v>
      </c>
      <c r="AD26" s="54" cm="1">
        <f t="array" ref="AD26">SUMPRODUCT(ISNUMBER(FIND("15:00",AD6:AD17))*1)</f>
        <v>1</v>
      </c>
      <c r="AE26" s="54" cm="1">
        <f t="array" ref="AE26">SUMPRODUCT(ISNUMBER(FIND("15:00",AE6:AE17))*1)</f>
        <v>1</v>
      </c>
      <c r="AF26" s="54" cm="1">
        <f t="array" ref="AF26">SUMPRODUCT(ISNUMBER(FIND("15:00",AF6:AF17))*1)</f>
        <v>2</v>
      </c>
      <c r="AG26" s="54" cm="1">
        <f t="array" ref="AG26">SUMPRODUCT(ISNUMBER(FIND("15:00",AG6:AG17))*1)</f>
        <v>2</v>
      </c>
      <c r="AH26" s="54" cm="1">
        <f t="array" ref="AH26">SUMPRODUCT(ISNUMBER(FIND("15:00",AH6:AH17))*1)</f>
        <v>1</v>
      </c>
      <c r="AI26" s="54" cm="1">
        <f t="array" ref="AI26">SUMPRODUCT(ISNUMBER(FIND("15:00",AI6:AI17))*1)</f>
        <v>1</v>
      </c>
      <c r="AJ26" s="54" cm="1">
        <f t="array" ref="AJ26">SUMPRODUCT(ISNUMBER(FIND("15:00",AJ6:AJ17))*1)</f>
        <v>2</v>
      </c>
      <c r="AK26" s="54" cm="1">
        <f t="array" ref="AK26">SUMPRODUCT(ISNUMBER(FIND("15:00",AK6:AK17))*1)</f>
        <v>2</v>
      </c>
    </row>
    <row r="27" spans="1:37" ht="16.5" hidden="1" customHeight="1" thickBot="1">
      <c r="D27" s="13"/>
      <c r="E27" s="13"/>
      <c r="F27" s="13"/>
      <c r="G27" s="13"/>
      <c r="H27" s="13"/>
      <c r="I27" s="53" t="s">
        <v>42</v>
      </c>
      <c r="J27" s="55">
        <f>SUM(J23:J26)</f>
        <v>3</v>
      </c>
      <c r="K27" s="55">
        <f t="shared" ref="K27:AK27" si="38">SUM(K23:K26)</f>
        <v>6</v>
      </c>
      <c r="L27" s="55">
        <f t="shared" si="38"/>
        <v>5</v>
      </c>
      <c r="M27" s="55">
        <f t="shared" si="38"/>
        <v>5</v>
      </c>
      <c r="N27" s="55">
        <f t="shared" si="38"/>
        <v>5</v>
      </c>
      <c r="O27" s="55">
        <f t="shared" si="38"/>
        <v>5</v>
      </c>
      <c r="P27" s="55">
        <f t="shared" si="38"/>
        <v>3</v>
      </c>
      <c r="Q27" s="55">
        <f t="shared" si="38"/>
        <v>3</v>
      </c>
      <c r="R27" s="55">
        <f t="shared" si="38"/>
        <v>5</v>
      </c>
      <c r="S27" s="55">
        <f t="shared" si="38"/>
        <v>5</v>
      </c>
      <c r="T27" s="55">
        <f t="shared" si="38"/>
        <v>5</v>
      </c>
      <c r="U27" s="55">
        <f t="shared" si="38"/>
        <v>5</v>
      </c>
      <c r="V27" s="55">
        <f t="shared" si="38"/>
        <v>5</v>
      </c>
      <c r="W27" s="55">
        <f t="shared" si="38"/>
        <v>2</v>
      </c>
      <c r="X27" s="55">
        <f t="shared" si="38"/>
        <v>2</v>
      </c>
      <c r="Y27" s="55">
        <f t="shared" si="38"/>
        <v>3</v>
      </c>
      <c r="Z27" s="55">
        <f t="shared" si="38"/>
        <v>2</v>
      </c>
      <c r="AA27" s="55">
        <f t="shared" si="38"/>
        <v>4</v>
      </c>
      <c r="AB27" s="55">
        <f t="shared" si="38"/>
        <v>5</v>
      </c>
      <c r="AC27" s="55">
        <f t="shared" si="38"/>
        <v>5</v>
      </c>
      <c r="AD27" s="55">
        <f t="shared" si="38"/>
        <v>2</v>
      </c>
      <c r="AE27" s="55">
        <f t="shared" si="38"/>
        <v>2</v>
      </c>
      <c r="AF27" s="55">
        <f t="shared" si="38"/>
        <v>6</v>
      </c>
      <c r="AG27" s="55">
        <f t="shared" si="38"/>
        <v>6</v>
      </c>
      <c r="AH27" s="55">
        <f t="shared" si="38"/>
        <v>4</v>
      </c>
      <c r="AI27" s="55">
        <f t="shared" si="38"/>
        <v>4</v>
      </c>
      <c r="AJ27" s="55">
        <f t="shared" si="38"/>
        <v>5</v>
      </c>
      <c r="AK27" s="55">
        <f t="shared" si="38"/>
        <v>3</v>
      </c>
    </row>
    <row r="28" spans="1:37" ht="16.5" hidden="1" customHeight="1" thickBot="1">
      <c r="I28" s="55" t="s">
        <v>43</v>
      </c>
      <c r="J28" s="56">
        <f>SUM(J24:J26)</f>
        <v>3</v>
      </c>
      <c r="K28" s="56">
        <f t="shared" ref="K28:AK28" si="39">SUM(K24:K26)</f>
        <v>5</v>
      </c>
      <c r="L28" s="56">
        <f t="shared" si="39"/>
        <v>4</v>
      </c>
      <c r="M28" s="56">
        <f t="shared" si="39"/>
        <v>4</v>
      </c>
      <c r="N28" s="56">
        <f t="shared" si="39"/>
        <v>4</v>
      </c>
      <c r="O28" s="56">
        <f t="shared" si="39"/>
        <v>4</v>
      </c>
      <c r="P28" s="56">
        <f t="shared" si="39"/>
        <v>3</v>
      </c>
      <c r="Q28" s="56">
        <f t="shared" si="39"/>
        <v>3</v>
      </c>
      <c r="R28" s="56">
        <f t="shared" si="39"/>
        <v>5</v>
      </c>
      <c r="S28" s="56">
        <f t="shared" si="39"/>
        <v>4</v>
      </c>
      <c r="T28" s="56">
        <f t="shared" si="39"/>
        <v>4</v>
      </c>
      <c r="U28" s="56">
        <f t="shared" si="39"/>
        <v>4</v>
      </c>
      <c r="V28" s="56">
        <f t="shared" si="39"/>
        <v>4</v>
      </c>
      <c r="W28" s="56">
        <f t="shared" si="39"/>
        <v>2</v>
      </c>
      <c r="X28" s="56">
        <f t="shared" si="39"/>
        <v>2</v>
      </c>
      <c r="Y28" s="56">
        <f t="shared" si="39"/>
        <v>3</v>
      </c>
      <c r="Z28" s="56">
        <f t="shared" si="39"/>
        <v>2</v>
      </c>
      <c r="AA28" s="56">
        <f t="shared" si="39"/>
        <v>3</v>
      </c>
      <c r="AB28" s="56">
        <f t="shared" si="39"/>
        <v>4</v>
      </c>
      <c r="AC28" s="56">
        <f t="shared" si="39"/>
        <v>4</v>
      </c>
      <c r="AD28" s="56">
        <f t="shared" si="39"/>
        <v>2</v>
      </c>
      <c r="AE28" s="56">
        <f t="shared" si="39"/>
        <v>2</v>
      </c>
      <c r="AF28" s="56">
        <f t="shared" si="39"/>
        <v>5</v>
      </c>
      <c r="AG28" s="56">
        <f t="shared" si="39"/>
        <v>5</v>
      </c>
      <c r="AH28" s="56">
        <f t="shared" si="39"/>
        <v>3</v>
      </c>
      <c r="AI28" s="56">
        <f t="shared" si="39"/>
        <v>3</v>
      </c>
      <c r="AJ28" s="56">
        <f t="shared" si="39"/>
        <v>4</v>
      </c>
      <c r="AK28" s="56">
        <f t="shared" si="39"/>
        <v>3</v>
      </c>
    </row>
  </sheetData>
  <sheetProtection algorithmName="SHA-512" hashValue="YrsvpYTiu2MAGSzvLEzLSuGZUYkiSJUBUstyWa6KinxMHgUj9JS3ic/4ghqgCvvazHLNL+4QbRJhD8ztE3lJ4w==" saltValue="33U1UjonSnfIyGaM2d6snA==" spinCount="100000" sheet="1" objects="1" scenarios="1"/>
  <mergeCells count="43">
    <mergeCell ref="A1:A2"/>
    <mergeCell ref="B1:B2"/>
    <mergeCell ref="C16:C17"/>
    <mergeCell ref="E17:I17"/>
    <mergeCell ref="E11:I11"/>
    <mergeCell ref="A12:A13"/>
    <mergeCell ref="B12:B17"/>
    <mergeCell ref="C12:C13"/>
    <mergeCell ref="D12:D17"/>
    <mergeCell ref="E13:I13"/>
    <mergeCell ref="A14:A15"/>
    <mergeCell ref="C14:C15"/>
    <mergeCell ref="E15:I15"/>
    <mergeCell ref="A16:A17"/>
    <mergeCell ref="E1:E2"/>
    <mergeCell ref="F1:F2"/>
    <mergeCell ref="G1:G2"/>
    <mergeCell ref="B6:B11"/>
    <mergeCell ref="C6:C7"/>
    <mergeCell ref="C1:C2"/>
    <mergeCell ref="D1:D2"/>
    <mergeCell ref="E5:I5"/>
    <mergeCell ref="D6:D11"/>
    <mergeCell ref="E7:I7"/>
    <mergeCell ref="H1:H2"/>
    <mergeCell ref="I1:I2"/>
    <mergeCell ref="A3:A4"/>
    <mergeCell ref="B3:B4"/>
    <mergeCell ref="C3:C4"/>
    <mergeCell ref="D3:D4"/>
    <mergeCell ref="E4:I4"/>
    <mergeCell ref="Y21:AA21"/>
    <mergeCell ref="AB21:AC21"/>
    <mergeCell ref="A6:A7"/>
    <mergeCell ref="A18:D18"/>
    <mergeCell ref="E18:I18"/>
    <mergeCell ref="A8:A9"/>
    <mergeCell ref="C8:C9"/>
    <mergeCell ref="E9:I9"/>
    <mergeCell ref="A10:A11"/>
    <mergeCell ref="C10:C11"/>
    <mergeCell ref="C19:D19"/>
    <mergeCell ref="C20:D20"/>
  </mergeCells>
  <phoneticPr fontId="8" type="noConversion"/>
  <conditionalFormatting sqref="C16:C17">
    <cfRule type="containsText" dxfId="28" priority="223" operator="containsText" text="上課">
      <formula>NOT(ISERROR(SEARCH("上課",C16)))</formula>
    </cfRule>
  </conditionalFormatting>
  <conditionalFormatting sqref="D12 A12:A17">
    <cfRule type="containsText" dxfId="27" priority="224" operator="containsText" text="上課">
      <formula>NOT(ISERROR(SEARCH("上課",A12)))</formula>
    </cfRule>
  </conditionalFormatting>
  <conditionalFormatting sqref="J3:AK4 J6:AK12 J13:Z13 AB13:AK13 J14:AK14 J15:O15 Q15 S15:AK15 J16:AK17">
    <cfRule type="cellIs" dxfId="26" priority="143" operator="equal">
      <formula>"LOA"</formula>
    </cfRule>
    <cfRule type="cellIs" dxfId="25" priority="144" operator="equal">
      <formula>"AL"</formula>
    </cfRule>
    <cfRule type="cellIs" dxfId="24" priority="145" operator="equal">
      <formula>"SL"</formula>
    </cfRule>
    <cfRule type="cellIs" dxfId="23" priority="146" operator="equal">
      <formula>"PTO"</formula>
    </cfRule>
    <cfRule type="cellIs" dxfId="22" priority="147" operator="equal">
      <formula>"OFF"</formula>
    </cfRule>
    <cfRule type="cellIs" dxfId="21" priority="148" operator="equal">
      <formula>"00:00"</formula>
    </cfRule>
    <cfRule type="cellIs" dxfId="20" priority="149" operator="equal">
      <formula>"15:00"</formula>
    </cfRule>
    <cfRule type="cellIs" dxfId="19" priority="151" operator="equal">
      <formula>"09:00"</formula>
    </cfRule>
  </conditionalFormatting>
  <conditionalFormatting sqref="J5:AK5">
    <cfRule type="containsText" dxfId="18" priority="115" operator="containsText" text="PTO">
      <formula>NOT(ISERROR(SEARCH("PTO",J5)))</formula>
    </cfRule>
  </conditionalFormatting>
  <conditionalFormatting sqref="J18:AK18">
    <cfRule type="containsText" dxfId="17" priority="116" operator="containsText" text="PTO">
      <formula>NOT(ISERROR(SEARCH("PTO",J18)))</formula>
    </cfRule>
    <cfRule type="containsText" dxfId="16" priority="117" operator="containsText" text="上課">
      <formula>NOT(ISERROR(SEARCH("上課",J18)))</formula>
    </cfRule>
  </conditionalFormatting>
  <conditionalFormatting sqref="J23:AK24 J26:AK26">
    <cfRule type="cellIs" dxfId="15" priority="222" operator="lessThan">
      <formula>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2" id="{BF54EC63-F1DD-441F-A1B9-9E5A05D48C40}">
            <xm:f>OR(COUNTIF(國定假日!$A:$A, J$2)&gt;0, J$1="Sat", J$1="Sun")</xm:f>
            <x14:dxf>
              <font>
                <color rgb="FFFF0000"/>
              </font>
            </x14:dxf>
          </x14:cfRule>
          <xm:sqref>J1:AK2</xm:sqref>
        </x14:conditionalFormatting>
        <x14:conditionalFormatting xmlns:xm="http://schemas.microsoft.com/office/excel/2006/main">
          <x14:cfRule type="expression" priority="9" id="{CE0810CD-E064-4BBE-9DC1-B59101AF637C}">
            <xm:f>OR(COUNTIF(國定假日!$A:$A, J$2)&gt;0, J$1="Sat", J$1="Sun")</xm:f>
            <x14:dxf>
              <font>
                <color rgb="FFFF0000"/>
              </font>
            </x14:dxf>
          </x14:cfRule>
          <xm:sqref>J22:AK22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F308934B-D823-45A6-89CD-CC85157ED0CB}">
          <x14:formula1>
            <xm:f>List!$A$2:$A$8</xm:f>
          </x14:formula1>
          <xm:sqref>A3:A4 A6:A17</xm:sqref>
        </x14:dataValidation>
        <x14:dataValidation type="list" allowBlank="1" showInputMessage="1" showErrorMessage="1" xr:uid="{242F82F1-CB75-4F64-9432-DE541E046032}">
          <x14:formula1>
            <xm:f>List!$C$1:$C$13</xm:f>
          </x14:formula1>
          <xm:sqref>B1:B2</xm:sqref>
        </x14:dataValidation>
        <x14:dataValidation type="list" allowBlank="1" showInputMessage="1" showErrorMessage="1" xr:uid="{5E8C61A6-BCF1-4596-AFEF-F92F8863EBC9}">
          <x14:formula1>
            <xm:f>List!$B$1:$B$10</xm:f>
          </x14:formula1>
          <xm:sqref>AF15 AK13 AF17 W6:AE12 W13:Z13 AB13:AE13 W14:AE17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A1AE-C64A-4F03-8011-9F0771881FCF}">
  <dimension ref="A1:D19"/>
  <sheetViews>
    <sheetView workbookViewId="0">
      <selection activeCell="C2" sqref="C2"/>
    </sheetView>
  </sheetViews>
  <sheetFormatPr defaultColWidth="9.140625" defaultRowHeight="15"/>
  <cols>
    <col min="1" max="1" width="21.42578125" style="1" bestFit="1" customWidth="1"/>
    <col min="2" max="2" width="12.7109375" style="2" customWidth="1"/>
    <col min="3" max="3" width="15.42578125" style="2" customWidth="1"/>
    <col min="4" max="4" width="17.42578125" style="1" bestFit="1" customWidth="1"/>
    <col min="5" max="5" width="9.140625" style="1"/>
    <col min="6" max="6" width="17.42578125" style="1" customWidth="1"/>
    <col min="7" max="16384" width="9.140625" style="1"/>
  </cols>
  <sheetData>
    <row r="1" spans="1:4">
      <c r="A1" s="18" t="s">
        <v>44</v>
      </c>
      <c r="B1" s="18" t="s">
        <v>45</v>
      </c>
      <c r="C1" s="18" t="s">
        <v>46</v>
      </c>
      <c r="D1" s="18"/>
    </row>
    <row r="2" spans="1:4">
      <c r="A2" s="18" t="s">
        <v>47</v>
      </c>
      <c r="B2" s="18" t="s">
        <v>48</v>
      </c>
      <c r="C2" s="18" t="s">
        <v>0</v>
      </c>
      <c r="D2" s="18" t="s">
        <v>49</v>
      </c>
    </row>
    <row r="3" spans="1:4">
      <c r="A3" s="18" t="s">
        <v>50</v>
      </c>
      <c r="B3" s="18" t="s">
        <v>51</v>
      </c>
      <c r="C3" s="18" t="s">
        <v>52</v>
      </c>
      <c r="D3" s="18" t="s">
        <v>53</v>
      </c>
    </row>
    <row r="4" spans="1:4">
      <c r="A4" s="18" t="s">
        <v>54</v>
      </c>
      <c r="B4" s="18" t="s">
        <v>55</v>
      </c>
      <c r="C4" s="18" t="s">
        <v>56</v>
      </c>
      <c r="D4" s="18" t="s">
        <v>57</v>
      </c>
    </row>
    <row r="5" spans="1:4">
      <c r="A5" s="18" t="s">
        <v>58</v>
      </c>
      <c r="B5" s="18" t="s">
        <v>11</v>
      </c>
      <c r="C5" s="18" t="s">
        <v>59</v>
      </c>
      <c r="D5" s="18" t="s">
        <v>60</v>
      </c>
    </row>
    <row r="6" spans="1:4">
      <c r="A6" s="18" t="s">
        <v>61</v>
      </c>
      <c r="B6" s="18" t="s">
        <v>24</v>
      </c>
      <c r="C6" s="18" t="s">
        <v>62</v>
      </c>
      <c r="D6" s="18" t="s">
        <v>63</v>
      </c>
    </row>
    <row r="7" spans="1:4">
      <c r="A7" s="18" t="s">
        <v>64</v>
      </c>
      <c r="B7" s="18" t="s">
        <v>65</v>
      </c>
      <c r="C7" s="18" t="s">
        <v>66</v>
      </c>
      <c r="D7" s="18" t="s">
        <v>67</v>
      </c>
    </row>
    <row r="8" spans="1:4">
      <c r="A8" s="18" t="s">
        <v>68</v>
      </c>
      <c r="B8" s="18" t="s">
        <v>69</v>
      </c>
      <c r="C8" s="18" t="s">
        <v>70</v>
      </c>
      <c r="D8" s="18" t="s">
        <v>71</v>
      </c>
    </row>
    <row r="9" spans="1:4">
      <c r="A9" s="18" t="s">
        <v>72</v>
      </c>
      <c r="B9" s="19" t="s">
        <v>20</v>
      </c>
      <c r="C9" s="18" t="s">
        <v>73</v>
      </c>
      <c r="D9" s="18"/>
    </row>
    <row r="10" spans="1:4">
      <c r="A10" s="18" t="s">
        <v>74</v>
      </c>
      <c r="B10" s="19" t="s">
        <v>29</v>
      </c>
      <c r="C10" s="18" t="s">
        <v>75</v>
      </c>
      <c r="D10" s="18"/>
    </row>
    <row r="11" spans="1:4">
      <c r="A11" s="18"/>
      <c r="B11" s="18"/>
      <c r="C11" s="18" t="s">
        <v>76</v>
      </c>
      <c r="D11" s="18"/>
    </row>
    <row r="12" spans="1:4">
      <c r="A12" s="18"/>
      <c r="C12" s="18" t="s">
        <v>77</v>
      </c>
      <c r="D12" s="18"/>
    </row>
    <row r="13" spans="1:4">
      <c r="A13" s="18"/>
      <c r="C13" s="18"/>
      <c r="D13" s="18"/>
    </row>
    <row r="14" spans="1:4" ht="15.75">
      <c r="A14" s="5"/>
    </row>
    <row r="15" spans="1:4">
      <c r="B15" s="4"/>
      <c r="C15" s="4"/>
    </row>
    <row r="16" spans="1:4">
      <c r="B16" s="3"/>
      <c r="C16" s="3"/>
    </row>
    <row r="17" spans="2:3" ht="16.5">
      <c r="B17" s="78" t="s">
        <v>78</v>
      </c>
      <c r="C17" s="79"/>
    </row>
    <row r="18" spans="2:3" ht="16.5">
      <c r="B18" s="80" t="s">
        <v>79</v>
      </c>
      <c r="C18" s="81"/>
    </row>
    <row r="19" spans="2:3">
      <c r="B19" s="4"/>
      <c r="C19" s="4"/>
    </row>
  </sheetData>
  <sortState xmlns:xlrd2="http://schemas.microsoft.com/office/spreadsheetml/2017/richdata2" ref="A2:A8">
    <sortCondition ref="A2:A8"/>
  </sortState>
  <mergeCells count="2">
    <mergeCell ref="B17:C17"/>
    <mergeCell ref="B18:C18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B40C-B26B-4135-873C-F8B597663034}">
  <dimension ref="A1:AF26"/>
  <sheetViews>
    <sheetView topLeftCell="A2" zoomScale="70" zoomScaleNormal="70" workbookViewId="0">
      <selection activeCell="L31" sqref="L31"/>
    </sheetView>
  </sheetViews>
  <sheetFormatPr defaultColWidth="9" defaultRowHeight="18"/>
  <cols>
    <col min="1" max="1" width="13.7109375" style="6" bestFit="1" customWidth="1"/>
    <col min="2" max="32" width="8.140625" style="6" customWidth="1"/>
    <col min="33" max="16384" width="9" style="6"/>
  </cols>
  <sheetData>
    <row r="1" spans="1:32" ht="101.45" customHeight="1">
      <c r="B1" s="83" t="s">
        <v>80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</row>
    <row r="2" spans="1:32" ht="22.15" customHeight="1">
      <c r="A2" s="8" t="s">
        <v>81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 spans="1:32">
      <c r="A3" s="72" t="s">
        <v>82</v>
      </c>
      <c r="B3" s="20" t="str">
        <f t="shared" ref="B3:AF19" si="0">TEXT(B4,"ddd")</f>
        <v>Thu</v>
      </c>
      <c r="C3" s="20" t="str">
        <f t="shared" si="0"/>
        <v>Fri</v>
      </c>
      <c r="D3" s="20" t="str">
        <f t="shared" si="0"/>
        <v>Sat</v>
      </c>
      <c r="E3" s="20" t="str">
        <f t="shared" si="0"/>
        <v>Sun</v>
      </c>
      <c r="F3" s="20" t="str">
        <f t="shared" si="0"/>
        <v>Mon</v>
      </c>
      <c r="G3" s="20" t="str">
        <f t="shared" si="0"/>
        <v>Tue</v>
      </c>
      <c r="H3" s="20" t="str">
        <f t="shared" si="0"/>
        <v>Wed</v>
      </c>
      <c r="I3" s="20" t="str">
        <f t="shared" si="0"/>
        <v>Thu</v>
      </c>
      <c r="J3" s="20" t="str">
        <f t="shared" si="0"/>
        <v>Fri</v>
      </c>
      <c r="K3" s="20" t="str">
        <f t="shared" si="0"/>
        <v>Sat</v>
      </c>
      <c r="L3" s="20" t="str">
        <f t="shared" si="0"/>
        <v>Sun</v>
      </c>
      <c r="M3" s="20" t="str">
        <f t="shared" si="0"/>
        <v>Mon</v>
      </c>
      <c r="N3" s="20" t="str">
        <f t="shared" si="0"/>
        <v>Tue</v>
      </c>
      <c r="O3" s="20" t="str">
        <f t="shared" si="0"/>
        <v>Wed</v>
      </c>
      <c r="P3" s="20" t="str">
        <f t="shared" si="0"/>
        <v>Thu</v>
      </c>
      <c r="Q3" s="20" t="str">
        <f t="shared" si="0"/>
        <v>Fri</v>
      </c>
      <c r="R3" s="20" t="str">
        <f t="shared" si="0"/>
        <v>Sat</v>
      </c>
      <c r="S3" s="20" t="str">
        <f t="shared" si="0"/>
        <v>Sun</v>
      </c>
      <c r="T3" s="20" t="str">
        <f t="shared" si="0"/>
        <v>Mon</v>
      </c>
      <c r="U3" s="20" t="str">
        <f t="shared" si="0"/>
        <v>Tue</v>
      </c>
      <c r="V3" s="20" t="str">
        <f t="shared" si="0"/>
        <v>Wed</v>
      </c>
      <c r="W3" s="20" t="str">
        <f t="shared" si="0"/>
        <v>Thu</v>
      </c>
      <c r="X3" s="20" t="str">
        <f t="shared" si="0"/>
        <v>Fri</v>
      </c>
      <c r="Y3" s="20" t="str">
        <f t="shared" si="0"/>
        <v>Sat</v>
      </c>
      <c r="Z3" s="20" t="str">
        <f t="shared" si="0"/>
        <v>Sun</v>
      </c>
      <c r="AA3" s="20" t="str">
        <f t="shared" si="0"/>
        <v>Mon</v>
      </c>
      <c r="AB3" s="20" t="str">
        <f t="shared" si="0"/>
        <v>Tue</v>
      </c>
      <c r="AC3" s="20" t="str">
        <f t="shared" si="0"/>
        <v>Wed</v>
      </c>
      <c r="AD3" s="20" t="str">
        <f t="shared" si="0"/>
        <v>Thu</v>
      </c>
      <c r="AE3" s="20" t="str">
        <f t="shared" si="0"/>
        <v>Fri</v>
      </c>
      <c r="AF3" s="20" t="str">
        <f t="shared" si="0"/>
        <v>Sat</v>
      </c>
    </row>
    <row r="4" spans="1:32">
      <c r="A4" s="72"/>
      <c r="B4" s="9">
        <f>DATE(2026, MONTH(DATEVALUE("1-" &amp; A3)), 1)</f>
        <v>46023</v>
      </c>
      <c r="C4" s="9">
        <f t="shared" ref="C4" si="1">B4 + 1</f>
        <v>46024</v>
      </c>
      <c r="D4" s="9">
        <f t="shared" ref="D4" si="2">C4 + 1</f>
        <v>46025</v>
      </c>
      <c r="E4" s="9">
        <f t="shared" ref="E4" si="3">D4 + 1</f>
        <v>46026</v>
      </c>
      <c r="F4" s="9">
        <f t="shared" ref="F4" si="4">E4 + 1</f>
        <v>46027</v>
      </c>
      <c r="G4" s="9">
        <f t="shared" ref="G4" si="5">F4 + 1</f>
        <v>46028</v>
      </c>
      <c r="H4" s="9">
        <f t="shared" ref="H4" si="6">G4 + 1</f>
        <v>46029</v>
      </c>
      <c r="I4" s="9">
        <f t="shared" ref="I4" si="7">H4 + 1</f>
        <v>46030</v>
      </c>
      <c r="J4" s="9">
        <f t="shared" ref="J4" si="8">I4 + 1</f>
        <v>46031</v>
      </c>
      <c r="K4" s="9">
        <f t="shared" ref="K4" si="9">J4 + 1</f>
        <v>46032</v>
      </c>
      <c r="L4" s="9">
        <f t="shared" ref="L4" si="10">K4 + 1</f>
        <v>46033</v>
      </c>
      <c r="M4" s="9">
        <f t="shared" ref="M4" si="11">L4 + 1</f>
        <v>46034</v>
      </c>
      <c r="N4" s="9">
        <f t="shared" ref="N4" si="12">M4 + 1</f>
        <v>46035</v>
      </c>
      <c r="O4" s="9">
        <f t="shared" ref="O4" si="13">N4 + 1</f>
        <v>46036</v>
      </c>
      <c r="P4" s="9">
        <f t="shared" ref="P4" si="14">O4 + 1</f>
        <v>46037</v>
      </c>
      <c r="Q4" s="9">
        <f t="shared" ref="Q4" si="15">P4 + 1</f>
        <v>46038</v>
      </c>
      <c r="R4" s="9">
        <f t="shared" ref="R4" si="16">Q4 + 1</f>
        <v>46039</v>
      </c>
      <c r="S4" s="9">
        <f t="shared" ref="S4" si="17">R4 + 1</f>
        <v>46040</v>
      </c>
      <c r="T4" s="9">
        <f t="shared" ref="T4" si="18">S4 + 1</f>
        <v>46041</v>
      </c>
      <c r="U4" s="9">
        <f t="shared" ref="U4" si="19">T4 + 1</f>
        <v>46042</v>
      </c>
      <c r="V4" s="9">
        <f t="shared" ref="V4" si="20">U4 + 1</f>
        <v>46043</v>
      </c>
      <c r="W4" s="9">
        <f t="shared" ref="W4" si="21">V4 + 1</f>
        <v>46044</v>
      </c>
      <c r="X4" s="9">
        <f t="shared" ref="X4" si="22">W4 + 1</f>
        <v>46045</v>
      </c>
      <c r="Y4" s="9">
        <f t="shared" ref="Y4" si="23">X4 + 1</f>
        <v>46046</v>
      </c>
      <c r="Z4" s="9">
        <f t="shared" ref="Z4" si="24">Y4 + 1</f>
        <v>46047</v>
      </c>
      <c r="AA4" s="9">
        <f t="shared" ref="AA4" si="25">Z4 + 1</f>
        <v>46048</v>
      </c>
      <c r="AB4" s="9">
        <f t="shared" ref="AB4" si="26">AA4 + 1</f>
        <v>46049</v>
      </c>
      <c r="AC4" s="9">
        <f t="shared" ref="AC4" si="27">AB4 + 1</f>
        <v>46050</v>
      </c>
      <c r="AD4" s="9">
        <f t="shared" ref="AD4:AF4" si="28">AC4 + 1</f>
        <v>46051</v>
      </c>
      <c r="AE4" s="9">
        <f t="shared" si="28"/>
        <v>46052</v>
      </c>
      <c r="AF4" s="9">
        <f t="shared" si="28"/>
        <v>46053</v>
      </c>
    </row>
    <row r="5" spans="1:32">
      <c r="A5" s="82" t="s">
        <v>0</v>
      </c>
      <c r="B5" s="30" t="str">
        <f t="shared" si="0"/>
        <v>Sun</v>
      </c>
      <c r="C5" s="30" t="str">
        <f t="shared" si="0"/>
        <v>Mon</v>
      </c>
      <c r="D5" s="30" t="str">
        <f t="shared" si="0"/>
        <v>Tue</v>
      </c>
      <c r="E5" s="30" t="str">
        <f t="shared" si="0"/>
        <v>Wed</v>
      </c>
      <c r="F5" s="30" t="str">
        <f t="shared" si="0"/>
        <v>Thu</v>
      </c>
      <c r="G5" s="30" t="str">
        <f t="shared" si="0"/>
        <v>Fri</v>
      </c>
      <c r="H5" s="30" t="str">
        <f t="shared" si="0"/>
        <v>Sat</v>
      </c>
      <c r="I5" s="30" t="str">
        <f t="shared" si="0"/>
        <v>Sun</v>
      </c>
      <c r="J5" s="30" t="str">
        <f t="shared" si="0"/>
        <v>Mon</v>
      </c>
      <c r="K5" s="30" t="str">
        <f t="shared" si="0"/>
        <v>Tue</v>
      </c>
      <c r="L5" s="30" t="str">
        <f t="shared" si="0"/>
        <v>Wed</v>
      </c>
      <c r="M5" s="30" t="str">
        <f t="shared" si="0"/>
        <v>Thu</v>
      </c>
      <c r="N5" s="30" t="str">
        <f t="shared" si="0"/>
        <v>Fri</v>
      </c>
      <c r="O5" s="30" t="str">
        <f t="shared" si="0"/>
        <v>Sat</v>
      </c>
      <c r="P5" s="30" t="str">
        <f t="shared" si="0"/>
        <v>Sun</v>
      </c>
      <c r="Q5" s="30" t="str">
        <f t="shared" si="0"/>
        <v>Mon</v>
      </c>
      <c r="R5" s="30" t="str">
        <f t="shared" si="0"/>
        <v>Tue</v>
      </c>
      <c r="S5" s="30" t="str">
        <f t="shared" si="0"/>
        <v>Wed</v>
      </c>
      <c r="T5" s="30" t="str">
        <f t="shared" si="0"/>
        <v>Thu</v>
      </c>
      <c r="U5" s="28" t="str">
        <f t="shared" si="0"/>
        <v>Fri</v>
      </c>
      <c r="V5" s="28" t="str">
        <f t="shared" si="0"/>
        <v>Sat</v>
      </c>
      <c r="W5" s="28" t="str">
        <f t="shared" si="0"/>
        <v>Sun</v>
      </c>
      <c r="X5" s="28" t="str">
        <f t="shared" si="0"/>
        <v>Mon</v>
      </c>
      <c r="Y5" s="28" t="str">
        <f t="shared" si="0"/>
        <v>Tue</v>
      </c>
      <c r="Z5" s="28" t="str">
        <f t="shared" si="0"/>
        <v>Wed</v>
      </c>
      <c r="AA5" s="28" t="str">
        <f t="shared" si="0"/>
        <v>Thu</v>
      </c>
      <c r="AB5" s="30" t="str">
        <f t="shared" si="0"/>
        <v>Fri</v>
      </c>
      <c r="AC5" s="30" t="str">
        <f t="shared" si="0"/>
        <v>Sat</v>
      </c>
    </row>
    <row r="6" spans="1:32">
      <c r="A6" s="82"/>
      <c r="B6" s="31">
        <f>DATE(2026, MONTH(DATEVALUE("1-" &amp; A5)), 1)</f>
        <v>46054</v>
      </c>
      <c r="C6" s="31">
        <f t="shared" ref="C6" si="29">B6 + 1</f>
        <v>46055</v>
      </c>
      <c r="D6" s="31">
        <f t="shared" ref="D6" si="30">C6 + 1</f>
        <v>46056</v>
      </c>
      <c r="E6" s="31">
        <f t="shared" ref="E6" si="31">D6 + 1</f>
        <v>46057</v>
      </c>
      <c r="F6" s="31">
        <f t="shared" ref="F6" si="32">E6 + 1</f>
        <v>46058</v>
      </c>
      <c r="G6" s="31">
        <f t="shared" ref="G6" si="33">F6 + 1</f>
        <v>46059</v>
      </c>
      <c r="H6" s="31">
        <f t="shared" ref="H6" si="34">G6 + 1</f>
        <v>46060</v>
      </c>
      <c r="I6" s="31">
        <f t="shared" ref="I6" si="35">H6 + 1</f>
        <v>46061</v>
      </c>
      <c r="J6" s="31">
        <f t="shared" ref="J6" si="36">I6 + 1</f>
        <v>46062</v>
      </c>
      <c r="K6" s="31">
        <f t="shared" ref="K6" si="37">J6 + 1</f>
        <v>46063</v>
      </c>
      <c r="L6" s="31">
        <f t="shared" ref="L6" si="38">K6 + 1</f>
        <v>46064</v>
      </c>
      <c r="M6" s="31">
        <f t="shared" ref="M6" si="39">L6 + 1</f>
        <v>46065</v>
      </c>
      <c r="N6" s="31">
        <f t="shared" ref="N6" si="40">M6 + 1</f>
        <v>46066</v>
      </c>
      <c r="O6" s="31">
        <f t="shared" ref="O6" si="41">N6 + 1</f>
        <v>46067</v>
      </c>
      <c r="P6" s="31">
        <f t="shared" ref="P6" si="42">O6 + 1</f>
        <v>46068</v>
      </c>
      <c r="Q6" s="31">
        <f t="shared" ref="Q6" si="43">P6 + 1</f>
        <v>46069</v>
      </c>
      <c r="R6" s="31">
        <f t="shared" ref="R6" si="44">Q6 + 1</f>
        <v>46070</v>
      </c>
      <c r="S6" s="31">
        <f t="shared" ref="S6" si="45">R6 + 1</f>
        <v>46071</v>
      </c>
      <c r="T6" s="31">
        <f t="shared" ref="T6" si="46">S6 + 1</f>
        <v>46072</v>
      </c>
      <c r="U6" s="29">
        <f t="shared" ref="U6" si="47">T6 + 1</f>
        <v>46073</v>
      </c>
      <c r="V6" s="29">
        <f t="shared" ref="V6" si="48">U6 + 1</f>
        <v>46074</v>
      </c>
      <c r="W6" s="29">
        <f t="shared" ref="W6" si="49">V6 + 1</f>
        <v>46075</v>
      </c>
      <c r="X6" s="29">
        <f t="shared" ref="X6" si="50">W6 + 1</f>
        <v>46076</v>
      </c>
      <c r="Y6" s="29">
        <f t="shared" ref="Y6" si="51">X6 + 1</f>
        <v>46077</v>
      </c>
      <c r="Z6" s="29">
        <f t="shared" ref="Z6" si="52">Y6 + 1</f>
        <v>46078</v>
      </c>
      <c r="AA6" s="29">
        <f t="shared" ref="AA6" si="53">Z6 + 1</f>
        <v>46079</v>
      </c>
      <c r="AB6" s="31">
        <f t="shared" ref="AB6" si="54">AA6 + 1</f>
        <v>46080</v>
      </c>
      <c r="AC6" s="31">
        <f t="shared" ref="AC6" si="55">AB6 + 1</f>
        <v>46081</v>
      </c>
    </row>
    <row r="7" spans="1:32">
      <c r="A7" s="72" t="s">
        <v>83</v>
      </c>
      <c r="B7" s="20" t="str">
        <f t="shared" si="0"/>
        <v>Sun</v>
      </c>
      <c r="C7" s="28" t="str">
        <f t="shared" si="0"/>
        <v>Mon</v>
      </c>
      <c r="D7" s="28" t="str">
        <f t="shared" si="0"/>
        <v>Tue</v>
      </c>
      <c r="E7" s="28" t="str">
        <f t="shared" si="0"/>
        <v>Wed</v>
      </c>
      <c r="F7" s="28" t="str">
        <f t="shared" si="0"/>
        <v>Thu</v>
      </c>
      <c r="G7" s="28" t="str">
        <f t="shared" si="0"/>
        <v>Fri</v>
      </c>
      <c r="H7" s="28" t="str">
        <f t="shared" si="0"/>
        <v>Sat</v>
      </c>
      <c r="I7" s="37" t="str">
        <f t="shared" si="0"/>
        <v>Sun</v>
      </c>
      <c r="J7" s="37" t="str">
        <f t="shared" si="0"/>
        <v>Mon</v>
      </c>
      <c r="K7" s="37" t="str">
        <f t="shared" si="0"/>
        <v>Tue</v>
      </c>
      <c r="L7" s="37" t="str">
        <f t="shared" si="0"/>
        <v>Wed</v>
      </c>
      <c r="M7" s="37" t="str">
        <f t="shared" si="0"/>
        <v>Thu</v>
      </c>
      <c r="N7" s="37" t="str">
        <f t="shared" si="0"/>
        <v>Fri</v>
      </c>
      <c r="O7" s="20" t="str">
        <f t="shared" si="0"/>
        <v>Sat</v>
      </c>
      <c r="P7" s="20" t="str">
        <f t="shared" si="0"/>
        <v>Sun</v>
      </c>
      <c r="Q7" s="20" t="str">
        <f t="shared" si="0"/>
        <v>Mon</v>
      </c>
      <c r="R7" s="20" t="str">
        <f t="shared" si="0"/>
        <v>Tue</v>
      </c>
      <c r="S7" s="20" t="str">
        <f t="shared" si="0"/>
        <v>Wed</v>
      </c>
      <c r="T7" s="20" t="str">
        <f t="shared" si="0"/>
        <v>Thu</v>
      </c>
      <c r="U7" s="20" t="str">
        <f t="shared" si="0"/>
        <v>Fri</v>
      </c>
      <c r="V7" s="20" t="str">
        <f t="shared" si="0"/>
        <v>Sat</v>
      </c>
      <c r="W7" s="20" t="str">
        <f t="shared" si="0"/>
        <v>Sun</v>
      </c>
      <c r="X7" s="20" t="str">
        <f t="shared" si="0"/>
        <v>Mon</v>
      </c>
      <c r="Y7" s="20" t="str">
        <f t="shared" si="0"/>
        <v>Tue</v>
      </c>
      <c r="Z7" s="20" t="str">
        <f t="shared" si="0"/>
        <v>Wed</v>
      </c>
      <c r="AA7" s="20" t="str">
        <f t="shared" si="0"/>
        <v>Thu</v>
      </c>
      <c r="AB7" s="20" t="str">
        <f t="shared" si="0"/>
        <v>Fri</v>
      </c>
      <c r="AC7" s="20" t="str">
        <f t="shared" si="0"/>
        <v>Sat</v>
      </c>
      <c r="AD7" s="20" t="str">
        <f t="shared" si="0"/>
        <v>Sun</v>
      </c>
      <c r="AE7" s="20" t="str">
        <f t="shared" si="0"/>
        <v>Mon</v>
      </c>
      <c r="AF7" s="20" t="str">
        <f t="shared" si="0"/>
        <v>Tue</v>
      </c>
    </row>
    <row r="8" spans="1:32">
      <c r="A8" s="72"/>
      <c r="B8" s="9">
        <f>DATE(2026, MONTH(DATEVALUE("1-" &amp; A7)), 1)</f>
        <v>46082</v>
      </c>
      <c r="C8" s="29">
        <f t="shared" ref="C8" si="56">B8 + 1</f>
        <v>46083</v>
      </c>
      <c r="D8" s="29">
        <f t="shared" ref="D8" si="57">C8 + 1</f>
        <v>46084</v>
      </c>
      <c r="E8" s="29">
        <f t="shared" ref="E8" si="58">D8 + 1</f>
        <v>46085</v>
      </c>
      <c r="F8" s="29">
        <f t="shared" ref="F8" si="59">E8 + 1</f>
        <v>46086</v>
      </c>
      <c r="G8" s="29">
        <f t="shared" ref="G8" si="60">F8 + 1</f>
        <v>46087</v>
      </c>
      <c r="H8" s="29">
        <f t="shared" ref="H8" si="61">G8 + 1</f>
        <v>46088</v>
      </c>
      <c r="I8" s="38">
        <f t="shared" ref="I8" si="62">H8 + 1</f>
        <v>46089</v>
      </c>
      <c r="J8" s="38">
        <f t="shared" ref="J8" si="63">I8 + 1</f>
        <v>46090</v>
      </c>
      <c r="K8" s="38">
        <f t="shared" ref="K8" si="64">J8 + 1</f>
        <v>46091</v>
      </c>
      <c r="L8" s="38">
        <f t="shared" ref="L8" si="65">K8 + 1</f>
        <v>46092</v>
      </c>
      <c r="M8" s="38">
        <f t="shared" ref="M8" si="66">L8 + 1</f>
        <v>46093</v>
      </c>
      <c r="N8" s="38">
        <f t="shared" ref="N8" si="67">M8 + 1</f>
        <v>46094</v>
      </c>
      <c r="O8" s="9">
        <f t="shared" ref="O8" si="68">N8 + 1</f>
        <v>46095</v>
      </c>
      <c r="P8" s="9">
        <f t="shared" ref="P8" si="69">O8 + 1</f>
        <v>46096</v>
      </c>
      <c r="Q8" s="9">
        <f t="shared" ref="Q8" si="70">P8 + 1</f>
        <v>46097</v>
      </c>
      <c r="R8" s="9">
        <f t="shared" ref="R8" si="71">Q8 + 1</f>
        <v>46098</v>
      </c>
      <c r="S8" s="9">
        <f t="shared" ref="S8" si="72">R8 + 1</f>
        <v>46099</v>
      </c>
      <c r="T8" s="9">
        <f t="shared" ref="T8" si="73">S8 + 1</f>
        <v>46100</v>
      </c>
      <c r="U8" s="9">
        <f t="shared" ref="U8" si="74">T8 + 1</f>
        <v>46101</v>
      </c>
      <c r="V8" s="9">
        <f t="shared" ref="V8" si="75">U8 + 1</f>
        <v>46102</v>
      </c>
      <c r="W8" s="9">
        <f t="shared" ref="W8" si="76">V8 + 1</f>
        <v>46103</v>
      </c>
      <c r="X8" s="9">
        <f t="shared" ref="X8" si="77">W8 + 1</f>
        <v>46104</v>
      </c>
      <c r="Y8" s="9">
        <f t="shared" ref="Y8" si="78">X8 + 1</f>
        <v>46105</v>
      </c>
      <c r="Z8" s="9">
        <f t="shared" ref="Z8" si="79">Y8 + 1</f>
        <v>46106</v>
      </c>
      <c r="AA8" s="9">
        <f t="shared" ref="AA8" si="80">Z8 + 1</f>
        <v>46107</v>
      </c>
      <c r="AB8" s="9">
        <f t="shared" ref="AB8" si="81">AA8 + 1</f>
        <v>46108</v>
      </c>
      <c r="AC8" s="9">
        <f t="shared" ref="AC8" si="82">AB8 + 1</f>
        <v>46109</v>
      </c>
      <c r="AD8" s="9">
        <f t="shared" ref="AD8" si="83">AC8 + 1</f>
        <v>46110</v>
      </c>
      <c r="AE8" s="9">
        <f t="shared" ref="AE8" si="84">AD8 + 1</f>
        <v>46111</v>
      </c>
      <c r="AF8" s="9">
        <f t="shared" ref="AF8" si="85">AE8 + 1</f>
        <v>46112</v>
      </c>
    </row>
    <row r="9" spans="1:32" s="32" customFormat="1">
      <c r="A9" s="82" t="s">
        <v>56</v>
      </c>
      <c r="B9" s="30" t="str">
        <f t="shared" si="0"/>
        <v>Wed</v>
      </c>
      <c r="C9" s="30" t="str">
        <f t="shared" si="0"/>
        <v>Thu</v>
      </c>
      <c r="D9" s="30" t="str">
        <f t="shared" si="0"/>
        <v>Fri</v>
      </c>
      <c r="E9" s="30" t="str">
        <f t="shared" si="0"/>
        <v>Sat</v>
      </c>
      <c r="F9" s="30" t="str">
        <f t="shared" si="0"/>
        <v>Sun</v>
      </c>
      <c r="G9" s="30" t="str">
        <f t="shared" si="0"/>
        <v>Mon</v>
      </c>
      <c r="H9" s="30" t="str">
        <f t="shared" si="0"/>
        <v>Tue</v>
      </c>
      <c r="I9" s="30" t="str">
        <f t="shared" si="0"/>
        <v>Wed</v>
      </c>
      <c r="J9" s="30" t="str">
        <f t="shared" si="0"/>
        <v>Thu</v>
      </c>
      <c r="K9" s="30" t="str">
        <f t="shared" si="0"/>
        <v>Fri</v>
      </c>
      <c r="L9" s="30" t="str">
        <f t="shared" si="0"/>
        <v>Sat</v>
      </c>
      <c r="M9" s="30" t="str">
        <f t="shared" si="0"/>
        <v>Sun</v>
      </c>
      <c r="N9" s="30" t="str">
        <f t="shared" si="0"/>
        <v>Mon</v>
      </c>
      <c r="O9" s="30" t="str">
        <f t="shared" si="0"/>
        <v>Tue</v>
      </c>
      <c r="P9" s="30" t="str">
        <f t="shared" si="0"/>
        <v>Wed</v>
      </c>
      <c r="Q9" s="30" t="str">
        <f t="shared" si="0"/>
        <v>Thu</v>
      </c>
      <c r="R9" s="30" t="str">
        <f t="shared" si="0"/>
        <v>Fri</v>
      </c>
      <c r="S9" s="30" t="str">
        <f t="shared" si="0"/>
        <v>Sat</v>
      </c>
      <c r="T9" s="30" t="str">
        <f t="shared" si="0"/>
        <v>Sun</v>
      </c>
      <c r="U9" s="30" t="str">
        <f t="shared" si="0"/>
        <v>Mon</v>
      </c>
      <c r="V9" s="30" t="str">
        <f t="shared" si="0"/>
        <v>Tue</v>
      </c>
      <c r="W9" s="30" t="str">
        <f t="shared" si="0"/>
        <v>Wed</v>
      </c>
      <c r="X9" s="30" t="str">
        <f t="shared" si="0"/>
        <v>Thu</v>
      </c>
      <c r="Y9" s="30" t="str">
        <f t="shared" si="0"/>
        <v>Fri</v>
      </c>
      <c r="Z9" s="30" t="str">
        <f t="shared" si="0"/>
        <v>Sat</v>
      </c>
      <c r="AA9" s="30" t="str">
        <f t="shared" si="0"/>
        <v>Sun</v>
      </c>
      <c r="AB9" s="30" t="str">
        <f t="shared" si="0"/>
        <v>Mon</v>
      </c>
      <c r="AC9" s="28" t="str">
        <f t="shared" si="0"/>
        <v>Tue</v>
      </c>
      <c r="AD9" s="28" t="str">
        <f t="shared" si="0"/>
        <v>Wed</v>
      </c>
      <c r="AE9" s="28" t="str">
        <f t="shared" si="0"/>
        <v>Thu</v>
      </c>
    </row>
    <row r="10" spans="1:32" s="32" customFormat="1">
      <c r="A10" s="82"/>
      <c r="B10" s="31">
        <f>DATE(2026, MONTH(DATEVALUE("1-" &amp; A9)), 1)</f>
        <v>46113</v>
      </c>
      <c r="C10" s="31">
        <f t="shared" ref="C10" si="86">B10 + 1</f>
        <v>46114</v>
      </c>
      <c r="D10" s="31">
        <f t="shared" ref="D10" si="87">C10 + 1</f>
        <v>46115</v>
      </c>
      <c r="E10" s="31">
        <f t="shared" ref="E10" si="88">D10 + 1</f>
        <v>46116</v>
      </c>
      <c r="F10" s="31">
        <f t="shared" ref="F10" si="89">E10 + 1</f>
        <v>46117</v>
      </c>
      <c r="G10" s="31">
        <f t="shared" ref="G10" si="90">F10 + 1</f>
        <v>46118</v>
      </c>
      <c r="H10" s="31">
        <f t="shared" ref="H10" si="91">G10 + 1</f>
        <v>46119</v>
      </c>
      <c r="I10" s="31">
        <f t="shared" ref="I10" si="92">H10 + 1</f>
        <v>46120</v>
      </c>
      <c r="J10" s="31">
        <f t="shared" ref="J10" si="93">I10 + 1</f>
        <v>46121</v>
      </c>
      <c r="K10" s="31">
        <f t="shared" ref="K10" si="94">J10 + 1</f>
        <v>46122</v>
      </c>
      <c r="L10" s="31">
        <f t="shared" ref="L10" si="95">K10 + 1</f>
        <v>46123</v>
      </c>
      <c r="M10" s="31">
        <f t="shared" ref="M10" si="96">L10 + 1</f>
        <v>46124</v>
      </c>
      <c r="N10" s="31">
        <f t="shared" ref="N10" si="97">M10 + 1</f>
        <v>46125</v>
      </c>
      <c r="O10" s="31">
        <f t="shared" ref="O10" si="98">N10 + 1</f>
        <v>46126</v>
      </c>
      <c r="P10" s="31">
        <f t="shared" ref="P10" si="99">O10 + 1</f>
        <v>46127</v>
      </c>
      <c r="Q10" s="31">
        <f t="shared" ref="Q10" si="100">P10 + 1</f>
        <v>46128</v>
      </c>
      <c r="R10" s="31">
        <f t="shared" ref="R10" si="101">Q10 + 1</f>
        <v>46129</v>
      </c>
      <c r="S10" s="31">
        <f t="shared" ref="S10" si="102">R10 + 1</f>
        <v>46130</v>
      </c>
      <c r="T10" s="31">
        <f t="shared" ref="T10" si="103">S10 + 1</f>
        <v>46131</v>
      </c>
      <c r="U10" s="31">
        <f t="shared" ref="U10" si="104">T10 + 1</f>
        <v>46132</v>
      </c>
      <c r="V10" s="31">
        <f t="shared" ref="V10" si="105">U10 + 1</f>
        <v>46133</v>
      </c>
      <c r="W10" s="31">
        <f t="shared" ref="W10" si="106">V10 + 1</f>
        <v>46134</v>
      </c>
      <c r="X10" s="31">
        <f t="shared" ref="X10" si="107">W10 + 1</f>
        <v>46135</v>
      </c>
      <c r="Y10" s="31">
        <f t="shared" ref="Y10" si="108">X10 + 1</f>
        <v>46136</v>
      </c>
      <c r="Z10" s="31">
        <f t="shared" ref="Z10" si="109">Y10 + 1</f>
        <v>46137</v>
      </c>
      <c r="AA10" s="31">
        <f t="shared" ref="AA10" si="110">Z10 + 1</f>
        <v>46138</v>
      </c>
      <c r="AB10" s="31">
        <f t="shared" ref="AB10" si="111">AA10 + 1</f>
        <v>46139</v>
      </c>
      <c r="AC10" s="29">
        <f t="shared" ref="AC10" si="112">AB10 + 1</f>
        <v>46140</v>
      </c>
      <c r="AD10" s="29">
        <f t="shared" ref="AD10" si="113">AC10 + 1</f>
        <v>46141</v>
      </c>
      <c r="AE10" s="29">
        <f t="shared" ref="AE10" si="114">AD10 + 1</f>
        <v>46142</v>
      </c>
    </row>
    <row r="11" spans="1:32">
      <c r="A11" s="72" t="s">
        <v>84</v>
      </c>
      <c r="B11" s="28" t="str">
        <f t="shared" si="0"/>
        <v>Fri</v>
      </c>
      <c r="C11" s="28" t="str">
        <f t="shared" si="0"/>
        <v>Sat</v>
      </c>
      <c r="D11" s="28" t="str">
        <f t="shared" si="0"/>
        <v>Sun</v>
      </c>
      <c r="E11" s="28" t="str">
        <f t="shared" si="0"/>
        <v>Mon</v>
      </c>
      <c r="F11" s="20" t="str">
        <f t="shared" si="0"/>
        <v>Tue</v>
      </c>
      <c r="G11" s="20" t="str">
        <f t="shared" si="0"/>
        <v>Wed</v>
      </c>
      <c r="H11" s="20" t="str">
        <f t="shared" si="0"/>
        <v>Thu</v>
      </c>
      <c r="I11" s="20" t="str">
        <f t="shared" si="0"/>
        <v>Fri</v>
      </c>
      <c r="J11" s="20" t="str">
        <f t="shared" si="0"/>
        <v>Sat</v>
      </c>
      <c r="K11" s="20" t="str">
        <f t="shared" si="0"/>
        <v>Sun</v>
      </c>
      <c r="L11" s="20" t="str">
        <f t="shared" si="0"/>
        <v>Mon</v>
      </c>
      <c r="M11" s="20" t="str">
        <f t="shared" si="0"/>
        <v>Tue</v>
      </c>
      <c r="N11" s="20" t="str">
        <f t="shared" si="0"/>
        <v>Wed</v>
      </c>
      <c r="O11" s="20" t="str">
        <f t="shared" si="0"/>
        <v>Thu</v>
      </c>
      <c r="P11" s="20" t="str">
        <f t="shared" si="0"/>
        <v>Fri</v>
      </c>
      <c r="Q11" s="20" t="str">
        <f t="shared" si="0"/>
        <v>Sat</v>
      </c>
      <c r="R11" s="20" t="str">
        <f t="shared" si="0"/>
        <v>Sun</v>
      </c>
      <c r="S11" s="20" t="str">
        <f t="shared" si="0"/>
        <v>Mon</v>
      </c>
      <c r="T11" s="20" t="str">
        <f t="shared" si="0"/>
        <v>Tue</v>
      </c>
      <c r="U11" s="20" t="str">
        <f t="shared" si="0"/>
        <v>Wed</v>
      </c>
      <c r="V11" s="20" t="str">
        <f t="shared" si="0"/>
        <v>Thu</v>
      </c>
      <c r="W11" s="20" t="str">
        <f t="shared" si="0"/>
        <v>Fri</v>
      </c>
      <c r="X11" s="20" t="str">
        <f t="shared" si="0"/>
        <v>Sat</v>
      </c>
      <c r="Y11" s="20" t="str">
        <f t="shared" si="0"/>
        <v>Sun</v>
      </c>
      <c r="Z11" s="20" t="str">
        <f t="shared" si="0"/>
        <v>Mon</v>
      </c>
      <c r="AA11" s="20" t="str">
        <f t="shared" si="0"/>
        <v>Tue</v>
      </c>
      <c r="AB11" s="20" t="str">
        <f t="shared" si="0"/>
        <v>Wed</v>
      </c>
      <c r="AC11" s="20" t="str">
        <f t="shared" si="0"/>
        <v>Thu</v>
      </c>
      <c r="AD11" s="20" t="str">
        <f t="shared" si="0"/>
        <v>Fri</v>
      </c>
      <c r="AE11" s="20" t="str">
        <f t="shared" si="0"/>
        <v>Sat</v>
      </c>
      <c r="AF11" s="20" t="str">
        <f t="shared" ref="AF11" si="115">TEXT(AF12,"ddd")</f>
        <v>Sun</v>
      </c>
    </row>
    <row r="12" spans="1:32">
      <c r="A12" s="72"/>
      <c r="B12" s="29">
        <f>DATE(2026, MONTH(DATEVALUE("1-" &amp; A11)), 1)</f>
        <v>46143</v>
      </c>
      <c r="C12" s="29">
        <f t="shared" ref="C12" si="116">B12 + 1</f>
        <v>46144</v>
      </c>
      <c r="D12" s="29">
        <f t="shared" ref="D12" si="117">C12 + 1</f>
        <v>46145</v>
      </c>
      <c r="E12" s="29">
        <f t="shared" ref="E12" si="118">D12 + 1</f>
        <v>46146</v>
      </c>
      <c r="F12" s="9">
        <f t="shared" ref="F12" si="119">E12 + 1</f>
        <v>46147</v>
      </c>
      <c r="G12" s="9">
        <f t="shared" ref="G12" si="120">F12 + 1</f>
        <v>46148</v>
      </c>
      <c r="H12" s="9">
        <f t="shared" ref="H12" si="121">G12 + 1</f>
        <v>46149</v>
      </c>
      <c r="I12" s="9">
        <f t="shared" ref="I12" si="122">H12 + 1</f>
        <v>46150</v>
      </c>
      <c r="J12" s="9">
        <f t="shared" ref="J12" si="123">I12 + 1</f>
        <v>46151</v>
      </c>
      <c r="K12" s="9">
        <f t="shared" ref="K12" si="124">J12 + 1</f>
        <v>46152</v>
      </c>
      <c r="L12" s="9">
        <f t="shared" ref="L12" si="125">K12 + 1</f>
        <v>46153</v>
      </c>
      <c r="M12" s="9">
        <f t="shared" ref="M12" si="126">L12 + 1</f>
        <v>46154</v>
      </c>
      <c r="N12" s="9">
        <f t="shared" ref="N12" si="127">M12 + 1</f>
        <v>46155</v>
      </c>
      <c r="O12" s="9">
        <f t="shared" ref="O12" si="128">N12 + 1</f>
        <v>46156</v>
      </c>
      <c r="P12" s="9">
        <f t="shared" ref="P12" si="129">O12 + 1</f>
        <v>46157</v>
      </c>
      <c r="Q12" s="9">
        <f t="shared" ref="Q12" si="130">P12 + 1</f>
        <v>46158</v>
      </c>
      <c r="R12" s="9">
        <f t="shared" ref="R12" si="131">Q12 + 1</f>
        <v>46159</v>
      </c>
      <c r="S12" s="9">
        <f t="shared" ref="S12" si="132">R12 + 1</f>
        <v>46160</v>
      </c>
      <c r="T12" s="9">
        <f t="shared" ref="T12" si="133">S12 + 1</f>
        <v>46161</v>
      </c>
      <c r="U12" s="9">
        <f t="shared" ref="U12" si="134">T12 + 1</f>
        <v>46162</v>
      </c>
      <c r="V12" s="9">
        <f t="shared" ref="V12" si="135">U12 + 1</f>
        <v>46163</v>
      </c>
      <c r="W12" s="9">
        <f t="shared" ref="W12" si="136">V12 + 1</f>
        <v>46164</v>
      </c>
      <c r="X12" s="9">
        <f t="shared" ref="X12" si="137">W12 + 1</f>
        <v>46165</v>
      </c>
      <c r="Y12" s="9">
        <f t="shared" ref="Y12" si="138">X12 + 1</f>
        <v>46166</v>
      </c>
      <c r="Z12" s="9">
        <f t="shared" ref="Z12" si="139">Y12 + 1</f>
        <v>46167</v>
      </c>
      <c r="AA12" s="9">
        <f t="shared" ref="AA12" si="140">Z12 + 1</f>
        <v>46168</v>
      </c>
      <c r="AB12" s="9">
        <f t="shared" ref="AB12" si="141">AA12 + 1</f>
        <v>46169</v>
      </c>
      <c r="AC12" s="9">
        <f t="shared" ref="AC12" si="142">AB12 + 1</f>
        <v>46170</v>
      </c>
      <c r="AD12" s="9">
        <f t="shared" ref="AD12" si="143">AC12 + 1</f>
        <v>46171</v>
      </c>
      <c r="AE12" s="9">
        <f t="shared" ref="AE12" si="144">AD12 + 1</f>
        <v>46172</v>
      </c>
      <c r="AF12" s="9">
        <f t="shared" ref="AF12" si="145">AE12 + 1</f>
        <v>46173</v>
      </c>
    </row>
    <row r="13" spans="1:32" s="32" customFormat="1">
      <c r="A13" s="82" t="s">
        <v>85</v>
      </c>
      <c r="B13" s="30" t="str">
        <f t="shared" si="0"/>
        <v>Mon</v>
      </c>
      <c r="C13" s="30" t="str">
        <f t="shared" si="0"/>
        <v>Tue</v>
      </c>
      <c r="D13" s="30" t="str">
        <f t="shared" si="0"/>
        <v>Wed</v>
      </c>
      <c r="E13" s="30" t="str">
        <f t="shared" si="0"/>
        <v>Thu</v>
      </c>
      <c r="F13" s="30" t="str">
        <f t="shared" si="0"/>
        <v>Fri</v>
      </c>
      <c r="G13" s="30" t="str">
        <f t="shared" si="0"/>
        <v>Sat</v>
      </c>
      <c r="H13" s="30" t="str">
        <f t="shared" si="0"/>
        <v>Sun</v>
      </c>
      <c r="I13" s="30" t="str">
        <f t="shared" si="0"/>
        <v>Mon</v>
      </c>
      <c r="J13" s="30" t="str">
        <f t="shared" si="0"/>
        <v>Tue</v>
      </c>
      <c r="K13" s="30" t="str">
        <f t="shared" si="0"/>
        <v>Wed</v>
      </c>
      <c r="L13" s="30" t="str">
        <f t="shared" si="0"/>
        <v>Thu</v>
      </c>
      <c r="M13" s="30" t="str">
        <f t="shared" si="0"/>
        <v>Fri</v>
      </c>
      <c r="N13" s="30" t="str">
        <f t="shared" si="0"/>
        <v>Sat</v>
      </c>
      <c r="O13" s="30" t="str">
        <f t="shared" si="0"/>
        <v>Sun</v>
      </c>
      <c r="P13" s="30" t="str">
        <f t="shared" si="0"/>
        <v>Mon</v>
      </c>
      <c r="Q13" s="30" t="str">
        <f t="shared" si="0"/>
        <v>Tue</v>
      </c>
      <c r="R13" s="30" t="str">
        <f t="shared" si="0"/>
        <v>Wed</v>
      </c>
      <c r="S13" s="30" t="str">
        <f t="shared" si="0"/>
        <v>Thu</v>
      </c>
      <c r="T13" s="30" t="str">
        <f t="shared" si="0"/>
        <v>Fri</v>
      </c>
      <c r="U13" s="30" t="str">
        <f t="shared" si="0"/>
        <v>Sat</v>
      </c>
      <c r="V13" s="30" t="str">
        <f t="shared" si="0"/>
        <v>Sun</v>
      </c>
      <c r="W13" s="30" t="str">
        <f t="shared" si="0"/>
        <v>Mon</v>
      </c>
      <c r="X13" s="30" t="str">
        <f t="shared" si="0"/>
        <v>Tue</v>
      </c>
      <c r="Y13" s="30" t="str">
        <f t="shared" si="0"/>
        <v>Wed</v>
      </c>
      <c r="Z13" s="30" t="str">
        <f t="shared" si="0"/>
        <v>Thu</v>
      </c>
      <c r="AA13" s="30" t="str">
        <f t="shared" si="0"/>
        <v>Fri</v>
      </c>
      <c r="AB13" s="30" t="str">
        <f t="shared" si="0"/>
        <v>Sat</v>
      </c>
      <c r="AC13" s="30" t="str">
        <f t="shared" si="0"/>
        <v>Sun</v>
      </c>
      <c r="AD13" s="30" t="str">
        <f t="shared" si="0"/>
        <v>Mon</v>
      </c>
      <c r="AE13" s="30" t="str">
        <f t="shared" si="0"/>
        <v>Tue</v>
      </c>
    </row>
    <row r="14" spans="1:32" s="32" customFormat="1">
      <c r="A14" s="82"/>
      <c r="B14" s="31">
        <f>DATE(2026, MONTH(DATEVALUE("1-" &amp; A13)), 1)</f>
        <v>46174</v>
      </c>
      <c r="C14" s="31">
        <f t="shared" ref="C14" si="146">B14 + 1</f>
        <v>46175</v>
      </c>
      <c r="D14" s="31">
        <f t="shared" ref="D14" si="147">C14 + 1</f>
        <v>46176</v>
      </c>
      <c r="E14" s="31">
        <f t="shared" ref="E14" si="148">D14 + 1</f>
        <v>46177</v>
      </c>
      <c r="F14" s="31">
        <f t="shared" ref="F14" si="149">E14 + 1</f>
        <v>46178</v>
      </c>
      <c r="G14" s="31">
        <f t="shared" ref="G14" si="150">F14 + 1</f>
        <v>46179</v>
      </c>
      <c r="H14" s="31">
        <f t="shared" ref="H14" si="151">G14 + 1</f>
        <v>46180</v>
      </c>
      <c r="I14" s="31">
        <f t="shared" ref="I14" si="152">H14 + 1</f>
        <v>46181</v>
      </c>
      <c r="J14" s="31">
        <f t="shared" ref="J14" si="153">I14 + 1</f>
        <v>46182</v>
      </c>
      <c r="K14" s="31">
        <f t="shared" ref="K14" si="154">J14 + 1</f>
        <v>46183</v>
      </c>
      <c r="L14" s="31">
        <f t="shared" ref="L14" si="155">K14 + 1</f>
        <v>46184</v>
      </c>
      <c r="M14" s="31">
        <f t="shared" ref="M14" si="156">L14 + 1</f>
        <v>46185</v>
      </c>
      <c r="N14" s="31">
        <f t="shared" ref="N14" si="157">M14 + 1</f>
        <v>46186</v>
      </c>
      <c r="O14" s="31">
        <f t="shared" ref="O14" si="158">N14 + 1</f>
        <v>46187</v>
      </c>
      <c r="P14" s="31">
        <f t="shared" ref="P14" si="159">O14 + 1</f>
        <v>46188</v>
      </c>
      <c r="Q14" s="31">
        <f t="shared" ref="Q14" si="160">P14 + 1</f>
        <v>46189</v>
      </c>
      <c r="R14" s="31">
        <f t="shared" ref="R14" si="161">Q14 + 1</f>
        <v>46190</v>
      </c>
      <c r="S14" s="31">
        <f t="shared" ref="S14" si="162">R14 + 1</f>
        <v>46191</v>
      </c>
      <c r="T14" s="31">
        <f t="shared" ref="T14" si="163">S14 + 1</f>
        <v>46192</v>
      </c>
      <c r="U14" s="31">
        <f t="shared" ref="U14" si="164">T14 + 1</f>
        <v>46193</v>
      </c>
      <c r="V14" s="31">
        <f t="shared" ref="V14" si="165">U14 + 1</f>
        <v>46194</v>
      </c>
      <c r="W14" s="31">
        <f t="shared" ref="W14" si="166">V14 + 1</f>
        <v>46195</v>
      </c>
      <c r="X14" s="31">
        <f t="shared" ref="X14" si="167">W14 + 1</f>
        <v>46196</v>
      </c>
      <c r="Y14" s="31">
        <f t="shared" ref="Y14" si="168">X14 + 1</f>
        <v>46197</v>
      </c>
      <c r="Z14" s="31">
        <f t="shared" ref="Z14" si="169">Y14 + 1</f>
        <v>46198</v>
      </c>
      <c r="AA14" s="31">
        <f t="shared" ref="AA14" si="170">Z14 + 1</f>
        <v>46199</v>
      </c>
      <c r="AB14" s="31">
        <f t="shared" ref="AB14" si="171">AA14 + 1</f>
        <v>46200</v>
      </c>
      <c r="AC14" s="31">
        <f t="shared" ref="AC14" si="172">AB14 + 1</f>
        <v>46201</v>
      </c>
      <c r="AD14" s="31">
        <f t="shared" ref="AD14" si="173">AC14 + 1</f>
        <v>46202</v>
      </c>
      <c r="AE14" s="31">
        <f t="shared" ref="AE14" si="174">AD14 + 1</f>
        <v>46203</v>
      </c>
    </row>
    <row r="15" spans="1:32">
      <c r="A15" s="72" t="s">
        <v>66</v>
      </c>
      <c r="B15" s="20" t="str">
        <f t="shared" si="0"/>
        <v>Wed</v>
      </c>
      <c r="C15" s="20" t="str">
        <f t="shared" si="0"/>
        <v>Thu</v>
      </c>
      <c r="D15" s="20" t="str">
        <f t="shared" si="0"/>
        <v>Fri</v>
      </c>
      <c r="E15" s="20" t="str">
        <f t="shared" si="0"/>
        <v>Sat</v>
      </c>
      <c r="F15" s="20" t="str">
        <f t="shared" si="0"/>
        <v>Sun</v>
      </c>
      <c r="G15" s="20" t="str">
        <f t="shared" si="0"/>
        <v>Mon</v>
      </c>
      <c r="H15" s="20" t="str">
        <f t="shared" si="0"/>
        <v>Tue</v>
      </c>
      <c r="I15" s="20" t="str">
        <f t="shared" si="0"/>
        <v>Wed</v>
      </c>
      <c r="J15" s="20" t="str">
        <f t="shared" si="0"/>
        <v>Thu</v>
      </c>
      <c r="K15" s="20" t="str">
        <f t="shared" si="0"/>
        <v>Fri</v>
      </c>
      <c r="L15" s="20" t="str">
        <f t="shared" si="0"/>
        <v>Sat</v>
      </c>
      <c r="M15" s="20" t="str">
        <f t="shared" si="0"/>
        <v>Sun</v>
      </c>
      <c r="N15" s="20" t="str">
        <f t="shared" si="0"/>
        <v>Mon</v>
      </c>
      <c r="O15" s="20" t="str">
        <f t="shared" si="0"/>
        <v>Tue</v>
      </c>
      <c r="P15" s="20" t="str">
        <f t="shared" si="0"/>
        <v>Wed</v>
      </c>
      <c r="Q15" s="20" t="str">
        <f t="shared" si="0"/>
        <v>Thu</v>
      </c>
      <c r="R15" s="20" t="str">
        <f t="shared" si="0"/>
        <v>Fri</v>
      </c>
      <c r="S15" s="20" t="str">
        <f t="shared" si="0"/>
        <v>Sat</v>
      </c>
      <c r="T15" s="20" t="str">
        <f t="shared" si="0"/>
        <v>Sun</v>
      </c>
      <c r="U15" s="20" t="str">
        <f t="shared" si="0"/>
        <v>Mon</v>
      </c>
      <c r="V15" s="20" t="str">
        <f t="shared" si="0"/>
        <v>Tue</v>
      </c>
      <c r="W15" s="20" t="str">
        <f t="shared" si="0"/>
        <v>Wed</v>
      </c>
      <c r="X15" s="28" t="str">
        <f t="shared" si="0"/>
        <v>Thu</v>
      </c>
      <c r="Y15" s="28" t="str">
        <f t="shared" si="0"/>
        <v>Fri</v>
      </c>
      <c r="Z15" s="28" t="str">
        <f t="shared" si="0"/>
        <v>Sat</v>
      </c>
      <c r="AA15" s="28" t="str">
        <f t="shared" si="0"/>
        <v>Sun</v>
      </c>
      <c r="AB15" s="28" t="str">
        <f t="shared" si="0"/>
        <v>Mon</v>
      </c>
      <c r="AC15" s="28" t="str">
        <f t="shared" si="0"/>
        <v>Tue</v>
      </c>
      <c r="AD15" s="20" t="str">
        <f t="shared" si="0"/>
        <v>Wed</v>
      </c>
      <c r="AE15" s="20" t="str">
        <f t="shared" si="0"/>
        <v>Thu</v>
      </c>
      <c r="AF15" s="20" t="str">
        <f t="shared" si="0"/>
        <v>Fri</v>
      </c>
    </row>
    <row r="16" spans="1:32">
      <c r="A16" s="72"/>
      <c r="B16" s="9">
        <f>DATE(2026, MONTH(DATEVALUE("1-" &amp; A15)), 1)</f>
        <v>46204</v>
      </c>
      <c r="C16" s="9">
        <f t="shared" ref="C16" si="175">B16 + 1</f>
        <v>46205</v>
      </c>
      <c r="D16" s="9">
        <f t="shared" ref="D16" si="176">C16 + 1</f>
        <v>46206</v>
      </c>
      <c r="E16" s="9">
        <f t="shared" ref="E16" si="177">D16 + 1</f>
        <v>46207</v>
      </c>
      <c r="F16" s="9">
        <f t="shared" ref="F16" si="178">E16 + 1</f>
        <v>46208</v>
      </c>
      <c r="G16" s="9">
        <f t="shared" ref="G16" si="179">F16 + 1</f>
        <v>46209</v>
      </c>
      <c r="H16" s="9">
        <f t="shared" ref="H16" si="180">G16 + 1</f>
        <v>46210</v>
      </c>
      <c r="I16" s="9">
        <f t="shared" ref="I16" si="181">H16 + 1</f>
        <v>46211</v>
      </c>
      <c r="J16" s="9">
        <f t="shared" ref="J16" si="182">I16 + 1</f>
        <v>46212</v>
      </c>
      <c r="K16" s="9">
        <f t="shared" ref="K16" si="183">J16 + 1</f>
        <v>46213</v>
      </c>
      <c r="L16" s="9">
        <f t="shared" ref="L16" si="184">K16 + 1</f>
        <v>46214</v>
      </c>
      <c r="M16" s="9">
        <f t="shared" ref="M16" si="185">L16 + 1</f>
        <v>46215</v>
      </c>
      <c r="N16" s="9">
        <f t="shared" ref="N16" si="186">M16 + 1</f>
        <v>46216</v>
      </c>
      <c r="O16" s="9">
        <f t="shared" ref="O16" si="187">N16 + 1</f>
        <v>46217</v>
      </c>
      <c r="P16" s="9">
        <f t="shared" ref="P16" si="188">O16 + 1</f>
        <v>46218</v>
      </c>
      <c r="Q16" s="9">
        <f t="shared" ref="Q16" si="189">P16 + 1</f>
        <v>46219</v>
      </c>
      <c r="R16" s="9">
        <f t="shared" ref="R16" si="190">Q16 + 1</f>
        <v>46220</v>
      </c>
      <c r="S16" s="9">
        <f t="shared" ref="S16" si="191">R16 + 1</f>
        <v>46221</v>
      </c>
      <c r="T16" s="9">
        <f t="shared" ref="T16" si="192">S16 + 1</f>
        <v>46222</v>
      </c>
      <c r="U16" s="9">
        <f t="shared" ref="U16" si="193">T16 + 1</f>
        <v>46223</v>
      </c>
      <c r="V16" s="9">
        <f t="shared" ref="V16" si="194">U16 + 1</f>
        <v>46224</v>
      </c>
      <c r="W16" s="9">
        <f t="shared" ref="W16" si="195">V16 + 1</f>
        <v>46225</v>
      </c>
      <c r="X16" s="29">
        <f t="shared" ref="X16" si="196">W16 + 1</f>
        <v>46226</v>
      </c>
      <c r="Y16" s="29">
        <f t="shared" ref="Y16" si="197">X16 + 1</f>
        <v>46227</v>
      </c>
      <c r="Z16" s="29">
        <f t="shared" ref="Z16" si="198">Y16 + 1</f>
        <v>46228</v>
      </c>
      <c r="AA16" s="29">
        <f t="shared" ref="AA16" si="199">Z16 + 1</f>
        <v>46229</v>
      </c>
      <c r="AB16" s="29">
        <f t="shared" ref="AB16" si="200">AA16 + 1</f>
        <v>46230</v>
      </c>
      <c r="AC16" s="29">
        <f t="shared" ref="AC16" si="201">AB16 + 1</f>
        <v>46231</v>
      </c>
      <c r="AD16" s="9">
        <f t="shared" ref="AD16" si="202">AC16 + 1</f>
        <v>46232</v>
      </c>
      <c r="AE16" s="9">
        <f t="shared" ref="AE16" si="203">AD16 + 1</f>
        <v>46233</v>
      </c>
      <c r="AF16" s="9">
        <f t="shared" ref="AF16" si="204">AE16 + 1</f>
        <v>46234</v>
      </c>
    </row>
    <row r="17" spans="1:32" s="32" customFormat="1">
      <c r="A17" s="82" t="s">
        <v>86</v>
      </c>
      <c r="B17" s="30" t="str">
        <f t="shared" si="0"/>
        <v>Sat</v>
      </c>
      <c r="C17" s="30" t="str">
        <f t="shared" si="0"/>
        <v>Sun</v>
      </c>
      <c r="D17" s="30" t="str">
        <f t="shared" si="0"/>
        <v>Mon</v>
      </c>
      <c r="E17" s="30" t="str">
        <f t="shared" si="0"/>
        <v>Tue</v>
      </c>
      <c r="F17" s="30" t="str">
        <f t="shared" si="0"/>
        <v>Wed</v>
      </c>
      <c r="G17" s="30" t="str">
        <f t="shared" si="0"/>
        <v>Thu</v>
      </c>
      <c r="H17" s="30" t="str">
        <f t="shared" si="0"/>
        <v>Fri</v>
      </c>
      <c r="I17" s="30" t="str">
        <f t="shared" si="0"/>
        <v>Sat</v>
      </c>
      <c r="J17" s="30" t="str">
        <f t="shared" si="0"/>
        <v>Sun</v>
      </c>
      <c r="K17" s="30" t="str">
        <f t="shared" si="0"/>
        <v>Mon</v>
      </c>
      <c r="L17" s="30" t="str">
        <f t="shared" si="0"/>
        <v>Tue</v>
      </c>
      <c r="M17" s="30" t="str">
        <f t="shared" si="0"/>
        <v>Wed</v>
      </c>
      <c r="N17" s="30" t="str">
        <f t="shared" si="0"/>
        <v>Thu</v>
      </c>
      <c r="O17" s="30" t="str">
        <f t="shared" si="0"/>
        <v>Fri</v>
      </c>
      <c r="P17" s="30" t="str">
        <f t="shared" si="0"/>
        <v>Sat</v>
      </c>
      <c r="Q17" s="30" t="str">
        <f t="shared" si="0"/>
        <v>Sun</v>
      </c>
      <c r="R17" s="30" t="str">
        <f t="shared" si="0"/>
        <v>Mon</v>
      </c>
      <c r="S17" s="30" t="str">
        <f t="shared" si="0"/>
        <v>Tue</v>
      </c>
      <c r="T17" s="30" t="str">
        <f t="shared" si="0"/>
        <v>Wed</v>
      </c>
      <c r="U17" s="30" t="str">
        <f t="shared" si="0"/>
        <v>Thu</v>
      </c>
      <c r="V17" s="30" t="str">
        <f t="shared" si="0"/>
        <v>Fri</v>
      </c>
      <c r="W17" s="30" t="str">
        <f t="shared" si="0"/>
        <v>Sat</v>
      </c>
      <c r="X17" s="30" t="str">
        <f t="shared" si="0"/>
        <v>Sun</v>
      </c>
      <c r="Y17" s="30" t="str">
        <f t="shared" si="0"/>
        <v>Mon</v>
      </c>
      <c r="Z17" s="30" t="str">
        <f t="shared" si="0"/>
        <v>Tue</v>
      </c>
      <c r="AA17" s="30" t="str">
        <f t="shared" si="0"/>
        <v>Wed</v>
      </c>
      <c r="AB17" s="30" t="str">
        <f t="shared" si="0"/>
        <v>Thu</v>
      </c>
      <c r="AC17" s="30" t="str">
        <f t="shared" si="0"/>
        <v>Fri</v>
      </c>
      <c r="AD17" s="30" t="str">
        <f t="shared" si="0"/>
        <v>Sat</v>
      </c>
      <c r="AE17" s="30" t="str">
        <f t="shared" si="0"/>
        <v>Sun</v>
      </c>
      <c r="AF17" s="30" t="str">
        <f t="shared" si="0"/>
        <v>Mon</v>
      </c>
    </row>
    <row r="18" spans="1:32" s="32" customFormat="1">
      <c r="A18" s="82"/>
      <c r="B18" s="31">
        <f>DATE(2026, MONTH(DATEVALUE("1-" &amp; A17)), 1)</f>
        <v>46235</v>
      </c>
      <c r="C18" s="31">
        <f t="shared" ref="C18" si="205">B18 + 1</f>
        <v>46236</v>
      </c>
      <c r="D18" s="31">
        <f t="shared" ref="D18" si="206">C18 + 1</f>
        <v>46237</v>
      </c>
      <c r="E18" s="31">
        <f t="shared" ref="E18" si="207">D18 + 1</f>
        <v>46238</v>
      </c>
      <c r="F18" s="31">
        <f t="shared" ref="F18" si="208">E18 + 1</f>
        <v>46239</v>
      </c>
      <c r="G18" s="31">
        <f t="shared" ref="G18" si="209">F18 + 1</f>
        <v>46240</v>
      </c>
      <c r="H18" s="31">
        <f t="shared" ref="H18" si="210">G18 + 1</f>
        <v>46241</v>
      </c>
      <c r="I18" s="31">
        <f t="shared" ref="I18" si="211">H18 + 1</f>
        <v>46242</v>
      </c>
      <c r="J18" s="31">
        <f t="shared" ref="J18" si="212">I18 + 1</f>
        <v>46243</v>
      </c>
      <c r="K18" s="31">
        <f t="shared" ref="K18" si="213">J18 + 1</f>
        <v>46244</v>
      </c>
      <c r="L18" s="31">
        <f t="shared" ref="L18" si="214">K18 + 1</f>
        <v>46245</v>
      </c>
      <c r="M18" s="31">
        <f t="shared" ref="M18" si="215">L18 + 1</f>
        <v>46246</v>
      </c>
      <c r="N18" s="31">
        <f t="shared" ref="N18" si="216">M18 + 1</f>
        <v>46247</v>
      </c>
      <c r="O18" s="31">
        <f t="shared" ref="O18" si="217">N18 + 1</f>
        <v>46248</v>
      </c>
      <c r="P18" s="31">
        <f t="shared" ref="P18" si="218">O18 + 1</f>
        <v>46249</v>
      </c>
      <c r="Q18" s="31">
        <f t="shared" ref="Q18" si="219">P18 + 1</f>
        <v>46250</v>
      </c>
      <c r="R18" s="31">
        <f t="shared" ref="R18" si="220">Q18 + 1</f>
        <v>46251</v>
      </c>
      <c r="S18" s="31">
        <f t="shared" ref="S18" si="221">R18 + 1</f>
        <v>46252</v>
      </c>
      <c r="T18" s="31">
        <f t="shared" ref="T18" si="222">S18 + 1</f>
        <v>46253</v>
      </c>
      <c r="U18" s="31">
        <f t="shared" ref="U18" si="223">T18 + 1</f>
        <v>46254</v>
      </c>
      <c r="V18" s="31">
        <f t="shared" ref="V18" si="224">U18 + 1</f>
        <v>46255</v>
      </c>
      <c r="W18" s="31">
        <f t="shared" ref="W18" si="225">V18 + 1</f>
        <v>46256</v>
      </c>
      <c r="X18" s="31">
        <f t="shared" ref="X18" si="226">W18 + 1</f>
        <v>46257</v>
      </c>
      <c r="Y18" s="31">
        <f t="shared" ref="Y18" si="227">X18 + 1</f>
        <v>46258</v>
      </c>
      <c r="Z18" s="31">
        <f t="shared" ref="Z18" si="228">Y18 + 1</f>
        <v>46259</v>
      </c>
      <c r="AA18" s="31">
        <f t="shared" ref="AA18" si="229">Z18 + 1</f>
        <v>46260</v>
      </c>
      <c r="AB18" s="31">
        <f t="shared" ref="AB18" si="230">AA18 + 1</f>
        <v>46261</v>
      </c>
      <c r="AC18" s="31">
        <f t="shared" ref="AC18" si="231">AB18 + 1</f>
        <v>46262</v>
      </c>
      <c r="AD18" s="31">
        <f t="shared" ref="AD18" si="232">AC18 + 1</f>
        <v>46263</v>
      </c>
      <c r="AE18" s="31">
        <f t="shared" ref="AE18" si="233">AD18 + 1</f>
        <v>46264</v>
      </c>
      <c r="AF18" s="31">
        <f t="shared" ref="AF18" si="234">AE18 + 1</f>
        <v>46265</v>
      </c>
    </row>
    <row r="19" spans="1:32">
      <c r="A19" s="72" t="s">
        <v>87</v>
      </c>
      <c r="B19" s="20" t="str">
        <f t="shared" ref="B19:B25" si="235">TEXT(B20,"ddd")</f>
        <v>Tue</v>
      </c>
      <c r="C19" s="20" t="str">
        <f t="shared" si="0"/>
        <v>Wed</v>
      </c>
      <c r="D19" s="20" t="str">
        <f t="shared" si="0"/>
        <v>Thu</v>
      </c>
      <c r="E19" s="20" t="str">
        <f t="shared" si="0"/>
        <v>Fri</v>
      </c>
      <c r="F19" s="20" t="str">
        <f t="shared" si="0"/>
        <v>Sat</v>
      </c>
      <c r="G19" s="20" t="str">
        <f t="shared" si="0"/>
        <v>Sun</v>
      </c>
      <c r="H19" s="20" t="str">
        <f t="shared" ref="H19:AE19" si="236">TEXT(H20,"ddd")</f>
        <v>Mon</v>
      </c>
      <c r="I19" s="20" t="str">
        <f t="shared" si="236"/>
        <v>Tue</v>
      </c>
      <c r="J19" s="20" t="str">
        <f t="shared" si="236"/>
        <v>Wed</v>
      </c>
      <c r="K19" s="20" t="str">
        <f t="shared" si="236"/>
        <v>Thu</v>
      </c>
      <c r="L19" s="20" t="str">
        <f t="shared" si="236"/>
        <v>Fri</v>
      </c>
      <c r="M19" s="20" t="str">
        <f t="shared" si="236"/>
        <v>Sat</v>
      </c>
      <c r="N19" s="20" t="str">
        <f t="shared" si="236"/>
        <v>Sun</v>
      </c>
      <c r="O19" s="20" t="str">
        <f t="shared" si="236"/>
        <v>Mon</v>
      </c>
      <c r="P19" s="20" t="str">
        <f t="shared" si="236"/>
        <v>Tue</v>
      </c>
      <c r="Q19" s="20" t="str">
        <f t="shared" si="236"/>
        <v>Wed</v>
      </c>
      <c r="R19" s="20" t="str">
        <f t="shared" si="236"/>
        <v>Thu</v>
      </c>
      <c r="S19" s="20" t="str">
        <f t="shared" si="236"/>
        <v>Fri</v>
      </c>
      <c r="T19" s="20" t="str">
        <f t="shared" si="236"/>
        <v>Sat</v>
      </c>
      <c r="U19" s="20" t="str">
        <f t="shared" si="236"/>
        <v>Sun</v>
      </c>
      <c r="V19" s="20" t="str">
        <f t="shared" si="236"/>
        <v>Mon</v>
      </c>
      <c r="W19" s="20" t="str">
        <f t="shared" si="236"/>
        <v>Tue</v>
      </c>
      <c r="X19" s="20" t="str">
        <f t="shared" si="236"/>
        <v>Wed</v>
      </c>
      <c r="Y19" s="20" t="str">
        <f t="shared" si="236"/>
        <v>Thu</v>
      </c>
      <c r="Z19" s="20" t="str">
        <f t="shared" si="236"/>
        <v>Fri</v>
      </c>
      <c r="AA19" s="20" t="str">
        <f t="shared" si="236"/>
        <v>Sat</v>
      </c>
      <c r="AB19" s="20" t="str">
        <f t="shared" si="236"/>
        <v>Sun</v>
      </c>
      <c r="AC19" s="20" t="str">
        <f t="shared" si="236"/>
        <v>Mon</v>
      </c>
      <c r="AD19" s="20" t="str">
        <f t="shared" si="236"/>
        <v>Tue</v>
      </c>
      <c r="AE19" s="20" t="str">
        <f t="shared" si="236"/>
        <v>Wed</v>
      </c>
    </row>
    <row r="20" spans="1:32">
      <c r="A20" s="72"/>
      <c r="B20" s="9">
        <f t="shared" ref="B20" si="237">DATE(2026, MONTH(DATEVALUE("1-" &amp; A19)), 1)</f>
        <v>46266</v>
      </c>
      <c r="C20" s="9">
        <f t="shared" ref="C20" si="238">B20 + 1</f>
        <v>46267</v>
      </c>
      <c r="D20" s="9">
        <f t="shared" ref="D20" si="239">C20 + 1</f>
        <v>46268</v>
      </c>
      <c r="E20" s="9">
        <f t="shared" ref="E20" si="240">D20 + 1</f>
        <v>46269</v>
      </c>
      <c r="F20" s="9">
        <f t="shared" ref="F20" si="241">E20 + 1</f>
        <v>46270</v>
      </c>
      <c r="G20" s="9">
        <f t="shared" ref="G20" si="242">F20 + 1</f>
        <v>46271</v>
      </c>
      <c r="H20" s="9">
        <f t="shared" ref="H20" si="243">G20 + 1</f>
        <v>46272</v>
      </c>
      <c r="I20" s="9">
        <f t="shared" ref="I20" si="244">H20 + 1</f>
        <v>46273</v>
      </c>
      <c r="J20" s="9">
        <f t="shared" ref="J20" si="245">I20 + 1</f>
        <v>46274</v>
      </c>
      <c r="K20" s="9">
        <f t="shared" ref="K20" si="246">J20 + 1</f>
        <v>46275</v>
      </c>
      <c r="L20" s="9">
        <f t="shared" ref="L20" si="247">K20 + 1</f>
        <v>46276</v>
      </c>
      <c r="M20" s="9">
        <f t="shared" ref="M20" si="248">L20 + 1</f>
        <v>46277</v>
      </c>
      <c r="N20" s="9">
        <f t="shared" ref="N20" si="249">M20 + 1</f>
        <v>46278</v>
      </c>
      <c r="O20" s="9">
        <f t="shared" ref="O20" si="250">N20 + 1</f>
        <v>46279</v>
      </c>
      <c r="P20" s="9">
        <f t="shared" ref="P20" si="251">O20 + 1</f>
        <v>46280</v>
      </c>
      <c r="Q20" s="9">
        <f t="shared" ref="Q20" si="252">P20 + 1</f>
        <v>46281</v>
      </c>
      <c r="R20" s="9">
        <f t="shared" ref="R20" si="253">Q20 + 1</f>
        <v>46282</v>
      </c>
      <c r="S20" s="9">
        <f t="shared" ref="S20" si="254">R20 + 1</f>
        <v>46283</v>
      </c>
      <c r="T20" s="9">
        <f t="shared" ref="T20" si="255">S20 + 1</f>
        <v>46284</v>
      </c>
      <c r="U20" s="9">
        <f t="shared" ref="U20" si="256">T20 + 1</f>
        <v>46285</v>
      </c>
      <c r="V20" s="9">
        <f t="shared" ref="V20" si="257">U20 + 1</f>
        <v>46286</v>
      </c>
      <c r="W20" s="9">
        <f t="shared" ref="W20" si="258">V20 + 1</f>
        <v>46287</v>
      </c>
      <c r="X20" s="9">
        <f t="shared" ref="X20" si="259">W20 + 1</f>
        <v>46288</v>
      </c>
      <c r="Y20" s="9">
        <f t="shared" ref="Y20" si="260">X20 + 1</f>
        <v>46289</v>
      </c>
      <c r="Z20" s="9">
        <f t="shared" ref="Z20" si="261">Y20 + 1</f>
        <v>46290</v>
      </c>
      <c r="AA20" s="9">
        <f t="shared" ref="AA20" si="262">Z20 + 1</f>
        <v>46291</v>
      </c>
      <c r="AB20" s="9">
        <f t="shared" ref="AB20" si="263">AA20 + 1</f>
        <v>46292</v>
      </c>
      <c r="AC20" s="9">
        <f t="shared" ref="AC20" si="264">AB20 + 1</f>
        <v>46293</v>
      </c>
      <c r="AD20" s="9">
        <f t="shared" ref="AD20" si="265">AC20 + 1</f>
        <v>46294</v>
      </c>
      <c r="AE20" s="9">
        <f t="shared" ref="AE20" si="266">AD20 + 1</f>
        <v>46295</v>
      </c>
    </row>
    <row r="21" spans="1:32" s="32" customFormat="1">
      <c r="A21" s="82" t="s">
        <v>88</v>
      </c>
      <c r="B21" s="30" t="str">
        <f t="shared" si="235"/>
        <v>Thu</v>
      </c>
      <c r="C21" s="30" t="str">
        <f t="shared" ref="C21:AF21" si="267">TEXT(C22,"ddd")</f>
        <v>Fri</v>
      </c>
      <c r="D21" s="30" t="str">
        <f t="shared" si="267"/>
        <v>Sat</v>
      </c>
      <c r="E21" s="28" t="str">
        <f t="shared" si="267"/>
        <v>Sun</v>
      </c>
      <c r="F21" s="28" t="str">
        <f t="shared" si="267"/>
        <v>Mon</v>
      </c>
      <c r="G21" s="28" t="str">
        <f t="shared" si="267"/>
        <v>Tue</v>
      </c>
      <c r="H21" s="28" t="str">
        <f t="shared" si="267"/>
        <v>Wed</v>
      </c>
      <c r="I21" s="28" t="str">
        <f t="shared" si="267"/>
        <v>Thu</v>
      </c>
      <c r="J21" s="28" t="str">
        <f t="shared" si="267"/>
        <v>Fri</v>
      </c>
      <c r="K21" s="30" t="str">
        <f t="shared" si="267"/>
        <v>Sat</v>
      </c>
      <c r="L21" s="30" t="str">
        <f t="shared" si="267"/>
        <v>Sun</v>
      </c>
      <c r="M21" s="30" t="str">
        <f t="shared" si="267"/>
        <v>Mon</v>
      </c>
      <c r="N21" s="30" t="str">
        <f t="shared" si="267"/>
        <v>Tue</v>
      </c>
      <c r="O21" s="30" t="str">
        <f t="shared" si="267"/>
        <v>Wed</v>
      </c>
      <c r="P21" s="30" t="str">
        <f t="shared" si="267"/>
        <v>Thu</v>
      </c>
      <c r="Q21" s="30" t="str">
        <f t="shared" si="267"/>
        <v>Fri</v>
      </c>
      <c r="R21" s="30" t="str">
        <f t="shared" si="267"/>
        <v>Sat</v>
      </c>
      <c r="S21" s="30" t="str">
        <f t="shared" si="267"/>
        <v>Sun</v>
      </c>
      <c r="T21" s="30" t="str">
        <f t="shared" si="267"/>
        <v>Mon</v>
      </c>
      <c r="U21" s="30" t="str">
        <f t="shared" si="267"/>
        <v>Tue</v>
      </c>
      <c r="V21" s="30" t="str">
        <f t="shared" si="267"/>
        <v>Wed</v>
      </c>
      <c r="W21" s="30" t="str">
        <f t="shared" si="267"/>
        <v>Thu</v>
      </c>
      <c r="X21" s="30" t="str">
        <f t="shared" si="267"/>
        <v>Fri</v>
      </c>
      <c r="Y21" s="30" t="str">
        <f t="shared" si="267"/>
        <v>Sat</v>
      </c>
      <c r="Z21" s="30" t="str">
        <f t="shared" si="267"/>
        <v>Sun</v>
      </c>
      <c r="AA21" s="30" t="str">
        <f t="shared" si="267"/>
        <v>Mon</v>
      </c>
      <c r="AB21" s="30" t="str">
        <f t="shared" si="267"/>
        <v>Tue</v>
      </c>
      <c r="AC21" s="30" t="str">
        <f t="shared" si="267"/>
        <v>Wed</v>
      </c>
      <c r="AD21" s="30" t="str">
        <f t="shared" si="267"/>
        <v>Thu</v>
      </c>
      <c r="AE21" s="30" t="str">
        <f t="shared" si="267"/>
        <v>Fri</v>
      </c>
      <c r="AF21" s="30" t="str">
        <f t="shared" si="267"/>
        <v>Sat</v>
      </c>
    </row>
    <row r="22" spans="1:32" s="32" customFormat="1">
      <c r="A22" s="82"/>
      <c r="B22" s="31">
        <f t="shared" ref="B22" si="268">DATE(2026, MONTH(DATEVALUE("1-" &amp; A21)), 1)</f>
        <v>46296</v>
      </c>
      <c r="C22" s="31">
        <f t="shared" ref="C22" si="269">B22 + 1</f>
        <v>46297</v>
      </c>
      <c r="D22" s="31">
        <f t="shared" ref="D22" si="270">C22 + 1</f>
        <v>46298</v>
      </c>
      <c r="E22" s="29">
        <f t="shared" ref="E22" si="271">D22 + 1</f>
        <v>46299</v>
      </c>
      <c r="F22" s="29">
        <f t="shared" ref="F22" si="272">E22 + 1</f>
        <v>46300</v>
      </c>
      <c r="G22" s="29">
        <f t="shared" ref="G22" si="273">F22 + 1</f>
        <v>46301</v>
      </c>
      <c r="H22" s="29">
        <f t="shared" ref="H22" si="274">G22 + 1</f>
        <v>46302</v>
      </c>
      <c r="I22" s="29">
        <f t="shared" ref="I22" si="275">H22 + 1</f>
        <v>46303</v>
      </c>
      <c r="J22" s="29">
        <f t="shared" ref="J22" si="276">I22 + 1</f>
        <v>46304</v>
      </c>
      <c r="K22" s="31">
        <f t="shared" ref="K22" si="277">J22 + 1</f>
        <v>46305</v>
      </c>
      <c r="L22" s="31">
        <f t="shared" ref="L22" si="278">K22 + 1</f>
        <v>46306</v>
      </c>
      <c r="M22" s="31">
        <f t="shared" ref="M22" si="279">L22 + 1</f>
        <v>46307</v>
      </c>
      <c r="N22" s="31">
        <f t="shared" ref="N22" si="280">M22 + 1</f>
        <v>46308</v>
      </c>
      <c r="O22" s="31">
        <f t="shared" ref="O22" si="281">N22 + 1</f>
        <v>46309</v>
      </c>
      <c r="P22" s="31">
        <f t="shared" ref="P22" si="282">O22 + 1</f>
        <v>46310</v>
      </c>
      <c r="Q22" s="31">
        <f t="shared" ref="Q22" si="283">P22 + 1</f>
        <v>46311</v>
      </c>
      <c r="R22" s="31">
        <f t="shared" ref="R22" si="284">Q22 + 1</f>
        <v>46312</v>
      </c>
      <c r="S22" s="31">
        <f t="shared" ref="S22" si="285">R22 + 1</f>
        <v>46313</v>
      </c>
      <c r="T22" s="31">
        <f t="shared" ref="T22" si="286">S22 + 1</f>
        <v>46314</v>
      </c>
      <c r="U22" s="31">
        <f t="shared" ref="U22" si="287">T22 + 1</f>
        <v>46315</v>
      </c>
      <c r="V22" s="31">
        <f t="shared" ref="V22" si="288">U22 + 1</f>
        <v>46316</v>
      </c>
      <c r="W22" s="31">
        <f t="shared" ref="W22" si="289">V22 + 1</f>
        <v>46317</v>
      </c>
      <c r="X22" s="31">
        <f t="shared" ref="X22" si="290">W22 + 1</f>
        <v>46318</v>
      </c>
      <c r="Y22" s="31">
        <f t="shared" ref="Y22" si="291">X22 + 1</f>
        <v>46319</v>
      </c>
      <c r="Z22" s="31">
        <f t="shared" ref="Z22" si="292">Y22 + 1</f>
        <v>46320</v>
      </c>
      <c r="AA22" s="31">
        <f t="shared" ref="AA22" si="293">Z22 + 1</f>
        <v>46321</v>
      </c>
      <c r="AB22" s="31">
        <f t="shared" ref="AB22" si="294">AA22 + 1</f>
        <v>46322</v>
      </c>
      <c r="AC22" s="31">
        <f t="shared" ref="AC22" si="295">AB22 + 1</f>
        <v>46323</v>
      </c>
      <c r="AD22" s="31">
        <f t="shared" ref="AD22" si="296">AC22 + 1</f>
        <v>46324</v>
      </c>
      <c r="AE22" s="31">
        <f t="shared" ref="AE22" si="297">AD22 + 1</f>
        <v>46325</v>
      </c>
      <c r="AF22" s="31">
        <f t="shared" ref="AF22" si="298">AE22 + 1</f>
        <v>46326</v>
      </c>
    </row>
    <row r="23" spans="1:32">
      <c r="A23" s="72" t="s">
        <v>76</v>
      </c>
      <c r="B23" s="20" t="str">
        <f t="shared" si="235"/>
        <v>Sun</v>
      </c>
      <c r="C23" s="20" t="str">
        <f t="shared" ref="C23:AE23" si="299">TEXT(C24,"ddd")</f>
        <v>Mon</v>
      </c>
      <c r="D23" s="20" t="str">
        <f t="shared" si="299"/>
        <v>Tue</v>
      </c>
      <c r="E23" s="20" t="str">
        <f t="shared" si="299"/>
        <v>Wed</v>
      </c>
      <c r="F23" s="20" t="str">
        <f t="shared" si="299"/>
        <v>Thu</v>
      </c>
      <c r="G23" s="20" t="str">
        <f t="shared" si="299"/>
        <v>Fri</v>
      </c>
      <c r="H23" s="20" t="str">
        <f t="shared" si="299"/>
        <v>Sat</v>
      </c>
      <c r="I23" s="20" t="str">
        <f t="shared" si="299"/>
        <v>Sun</v>
      </c>
      <c r="J23" s="20" t="str">
        <f t="shared" si="299"/>
        <v>Mon</v>
      </c>
      <c r="K23" s="20" t="str">
        <f t="shared" si="299"/>
        <v>Tue</v>
      </c>
      <c r="L23" s="20" t="str">
        <f t="shared" si="299"/>
        <v>Wed</v>
      </c>
      <c r="M23" s="20" t="str">
        <f t="shared" si="299"/>
        <v>Thu</v>
      </c>
      <c r="N23" s="20" t="str">
        <f t="shared" si="299"/>
        <v>Fri</v>
      </c>
      <c r="O23" s="20" t="str">
        <f t="shared" si="299"/>
        <v>Sat</v>
      </c>
      <c r="P23" s="20" t="str">
        <f t="shared" si="299"/>
        <v>Sun</v>
      </c>
      <c r="Q23" s="20" t="str">
        <f t="shared" si="299"/>
        <v>Mon</v>
      </c>
      <c r="R23" s="20" t="str">
        <f t="shared" si="299"/>
        <v>Tue</v>
      </c>
      <c r="S23" s="20" t="str">
        <f t="shared" si="299"/>
        <v>Wed</v>
      </c>
      <c r="T23" s="20" t="str">
        <f t="shared" si="299"/>
        <v>Thu</v>
      </c>
      <c r="U23" s="20" t="str">
        <f t="shared" si="299"/>
        <v>Fri</v>
      </c>
      <c r="V23" s="20" t="str">
        <f t="shared" si="299"/>
        <v>Sat</v>
      </c>
      <c r="W23" s="20" t="str">
        <f t="shared" si="299"/>
        <v>Sun</v>
      </c>
      <c r="X23" s="20" t="str">
        <f t="shared" si="299"/>
        <v>Mon</v>
      </c>
      <c r="Y23" s="20" t="str">
        <f t="shared" si="299"/>
        <v>Tue</v>
      </c>
      <c r="Z23" s="20" t="str">
        <f t="shared" si="299"/>
        <v>Wed</v>
      </c>
      <c r="AA23" s="20" t="str">
        <f t="shared" si="299"/>
        <v>Thu</v>
      </c>
      <c r="AB23" s="20" t="str">
        <f t="shared" si="299"/>
        <v>Fri</v>
      </c>
      <c r="AC23" s="20" t="str">
        <f t="shared" si="299"/>
        <v>Sat</v>
      </c>
      <c r="AD23" s="20" t="str">
        <f t="shared" si="299"/>
        <v>Sun</v>
      </c>
      <c r="AE23" s="20" t="str">
        <f t="shared" si="299"/>
        <v>Mon</v>
      </c>
    </row>
    <row r="24" spans="1:32">
      <c r="A24" s="72"/>
      <c r="B24" s="9">
        <f t="shared" ref="B24" si="300">DATE(2026, MONTH(DATEVALUE("1-" &amp; A23)), 1)</f>
        <v>46327</v>
      </c>
      <c r="C24" s="9">
        <f t="shared" ref="C24" si="301">B24 + 1</f>
        <v>46328</v>
      </c>
      <c r="D24" s="9">
        <f t="shared" ref="D24" si="302">C24 + 1</f>
        <v>46329</v>
      </c>
      <c r="E24" s="9">
        <f t="shared" ref="E24" si="303">D24 + 1</f>
        <v>46330</v>
      </c>
      <c r="F24" s="9">
        <f t="shared" ref="F24" si="304">E24 + 1</f>
        <v>46331</v>
      </c>
      <c r="G24" s="9">
        <f t="shared" ref="G24" si="305">F24 + 1</f>
        <v>46332</v>
      </c>
      <c r="H24" s="9">
        <f t="shared" ref="H24" si="306">G24 + 1</f>
        <v>46333</v>
      </c>
      <c r="I24" s="9">
        <f t="shared" ref="I24" si="307">H24 + 1</f>
        <v>46334</v>
      </c>
      <c r="J24" s="9">
        <f t="shared" ref="J24" si="308">I24 + 1</f>
        <v>46335</v>
      </c>
      <c r="K24" s="9">
        <f t="shared" ref="K24" si="309">J24 + 1</f>
        <v>46336</v>
      </c>
      <c r="L24" s="9">
        <f t="shared" ref="L24" si="310">K24 + 1</f>
        <v>46337</v>
      </c>
      <c r="M24" s="9">
        <f t="shared" ref="M24" si="311">L24 + 1</f>
        <v>46338</v>
      </c>
      <c r="N24" s="9">
        <f t="shared" ref="N24" si="312">M24 + 1</f>
        <v>46339</v>
      </c>
      <c r="O24" s="9">
        <f t="shared" ref="O24" si="313">N24 + 1</f>
        <v>46340</v>
      </c>
      <c r="P24" s="9">
        <f t="shared" ref="P24" si="314">O24 + 1</f>
        <v>46341</v>
      </c>
      <c r="Q24" s="9">
        <f t="shared" ref="Q24" si="315">P24 + 1</f>
        <v>46342</v>
      </c>
      <c r="R24" s="9">
        <f t="shared" ref="R24" si="316">Q24 + 1</f>
        <v>46343</v>
      </c>
      <c r="S24" s="9">
        <f t="shared" ref="S24" si="317">R24 + 1</f>
        <v>46344</v>
      </c>
      <c r="T24" s="9">
        <f t="shared" ref="T24" si="318">S24 + 1</f>
        <v>46345</v>
      </c>
      <c r="U24" s="9">
        <f t="shared" ref="U24" si="319">T24 + 1</f>
        <v>46346</v>
      </c>
      <c r="V24" s="9">
        <f t="shared" ref="V24" si="320">U24 + 1</f>
        <v>46347</v>
      </c>
      <c r="W24" s="9">
        <f t="shared" ref="W24" si="321">V24 + 1</f>
        <v>46348</v>
      </c>
      <c r="X24" s="9">
        <f t="shared" ref="X24" si="322">W24 + 1</f>
        <v>46349</v>
      </c>
      <c r="Y24" s="9">
        <f t="shared" ref="Y24" si="323">X24 + 1</f>
        <v>46350</v>
      </c>
      <c r="Z24" s="9">
        <f t="shared" ref="Z24" si="324">Y24 + 1</f>
        <v>46351</v>
      </c>
      <c r="AA24" s="9">
        <f t="shared" ref="AA24" si="325">Z24 + 1</f>
        <v>46352</v>
      </c>
      <c r="AB24" s="9">
        <f t="shared" ref="AB24" si="326">AA24 + 1</f>
        <v>46353</v>
      </c>
      <c r="AC24" s="9">
        <f t="shared" ref="AC24" si="327">AB24 + 1</f>
        <v>46354</v>
      </c>
      <c r="AD24" s="9">
        <f t="shared" ref="AD24" si="328">AC24 + 1</f>
        <v>46355</v>
      </c>
      <c r="AE24" s="9">
        <f t="shared" ref="AE24" si="329">AD24 + 1</f>
        <v>46356</v>
      </c>
    </row>
    <row r="25" spans="1:32" s="32" customFormat="1">
      <c r="A25" s="82" t="s">
        <v>77</v>
      </c>
      <c r="B25" s="30" t="str">
        <f t="shared" si="235"/>
        <v>Tue</v>
      </c>
      <c r="C25" s="30" t="str">
        <f t="shared" ref="C25:AF25" si="330">TEXT(C26,"ddd")</f>
        <v>Wed</v>
      </c>
      <c r="D25" s="30" t="str">
        <f t="shared" si="330"/>
        <v>Thu</v>
      </c>
      <c r="E25" s="30" t="str">
        <f t="shared" si="330"/>
        <v>Fri</v>
      </c>
      <c r="F25" s="30" t="str">
        <f t="shared" si="330"/>
        <v>Sat</v>
      </c>
      <c r="G25" s="30" t="str">
        <f t="shared" si="330"/>
        <v>Sun</v>
      </c>
      <c r="H25" s="30" t="str">
        <f t="shared" si="330"/>
        <v>Mon</v>
      </c>
      <c r="I25" s="30" t="str">
        <f t="shared" si="330"/>
        <v>Tue</v>
      </c>
      <c r="J25" s="30" t="str">
        <f t="shared" si="330"/>
        <v>Wed</v>
      </c>
      <c r="K25" s="30" t="str">
        <f t="shared" si="330"/>
        <v>Thu</v>
      </c>
      <c r="L25" s="30" t="str">
        <f t="shared" si="330"/>
        <v>Fri</v>
      </c>
      <c r="M25" s="30" t="str">
        <f t="shared" si="330"/>
        <v>Sat</v>
      </c>
      <c r="N25" s="30" t="str">
        <f t="shared" si="330"/>
        <v>Sun</v>
      </c>
      <c r="O25" s="30" t="str">
        <f t="shared" si="330"/>
        <v>Mon</v>
      </c>
      <c r="P25" s="30" t="str">
        <f t="shared" si="330"/>
        <v>Tue</v>
      </c>
      <c r="Q25" s="30" t="str">
        <f t="shared" si="330"/>
        <v>Wed</v>
      </c>
      <c r="R25" s="30" t="str">
        <f t="shared" si="330"/>
        <v>Thu</v>
      </c>
      <c r="S25" s="30" t="str">
        <f t="shared" si="330"/>
        <v>Fri</v>
      </c>
      <c r="T25" s="30" t="str">
        <f t="shared" si="330"/>
        <v>Sat</v>
      </c>
      <c r="U25" s="30" t="str">
        <f t="shared" si="330"/>
        <v>Sun</v>
      </c>
      <c r="V25" s="30" t="str">
        <f t="shared" si="330"/>
        <v>Mon</v>
      </c>
      <c r="W25" s="30" t="str">
        <f t="shared" si="330"/>
        <v>Tue</v>
      </c>
      <c r="X25" s="30" t="str">
        <f t="shared" si="330"/>
        <v>Wed</v>
      </c>
      <c r="Y25" s="30" t="str">
        <f t="shared" si="330"/>
        <v>Thu</v>
      </c>
      <c r="Z25" s="30" t="str">
        <f t="shared" si="330"/>
        <v>Fri</v>
      </c>
      <c r="AA25" s="30" t="str">
        <f t="shared" si="330"/>
        <v>Sat</v>
      </c>
      <c r="AB25" s="30" t="str">
        <f t="shared" si="330"/>
        <v>Sun</v>
      </c>
      <c r="AC25" s="30" t="str">
        <f t="shared" si="330"/>
        <v>Mon</v>
      </c>
      <c r="AD25" s="30" t="str">
        <f t="shared" si="330"/>
        <v>Tue</v>
      </c>
      <c r="AE25" s="30" t="str">
        <f t="shared" si="330"/>
        <v>Wed</v>
      </c>
      <c r="AF25" s="30" t="str">
        <f t="shared" si="330"/>
        <v>Thu</v>
      </c>
    </row>
    <row r="26" spans="1:32" s="32" customFormat="1">
      <c r="A26" s="82"/>
      <c r="B26" s="31">
        <f t="shared" ref="B26" si="331">DATE(2026, MONTH(DATEVALUE("1-" &amp; A25)), 1)</f>
        <v>46357</v>
      </c>
      <c r="C26" s="31">
        <f t="shared" ref="C26" si="332">B26 + 1</f>
        <v>46358</v>
      </c>
      <c r="D26" s="31">
        <f t="shared" ref="D26" si="333">C26 + 1</f>
        <v>46359</v>
      </c>
      <c r="E26" s="31">
        <f t="shared" ref="E26" si="334">D26 + 1</f>
        <v>46360</v>
      </c>
      <c r="F26" s="31">
        <f t="shared" ref="F26" si="335">E26 + 1</f>
        <v>46361</v>
      </c>
      <c r="G26" s="31">
        <f t="shared" ref="G26" si="336">F26 + 1</f>
        <v>46362</v>
      </c>
      <c r="H26" s="31">
        <f t="shared" ref="H26" si="337">G26 + 1</f>
        <v>46363</v>
      </c>
      <c r="I26" s="31">
        <f t="shared" ref="I26" si="338">H26 + 1</f>
        <v>46364</v>
      </c>
      <c r="J26" s="31">
        <f t="shared" ref="J26" si="339">I26 + 1</f>
        <v>46365</v>
      </c>
      <c r="K26" s="31">
        <f t="shared" ref="K26" si="340">J26 + 1</f>
        <v>46366</v>
      </c>
      <c r="L26" s="31">
        <f t="shared" ref="L26" si="341">K26 + 1</f>
        <v>46367</v>
      </c>
      <c r="M26" s="31">
        <f t="shared" ref="M26" si="342">L26 + 1</f>
        <v>46368</v>
      </c>
      <c r="N26" s="31">
        <f t="shared" ref="N26" si="343">M26 + 1</f>
        <v>46369</v>
      </c>
      <c r="O26" s="31">
        <f t="shared" ref="O26" si="344">N26 + 1</f>
        <v>46370</v>
      </c>
      <c r="P26" s="31">
        <f t="shared" ref="P26" si="345">O26 + 1</f>
        <v>46371</v>
      </c>
      <c r="Q26" s="31">
        <f t="shared" ref="Q26" si="346">P26 + 1</f>
        <v>46372</v>
      </c>
      <c r="R26" s="31">
        <f t="shared" ref="R26" si="347">Q26 + 1</f>
        <v>46373</v>
      </c>
      <c r="S26" s="31">
        <f t="shared" ref="S26" si="348">R26 + 1</f>
        <v>46374</v>
      </c>
      <c r="T26" s="31">
        <f t="shared" ref="T26" si="349">S26 + 1</f>
        <v>46375</v>
      </c>
      <c r="U26" s="31">
        <f t="shared" ref="U26" si="350">T26 + 1</f>
        <v>46376</v>
      </c>
      <c r="V26" s="31">
        <f t="shared" ref="V26" si="351">U26 + 1</f>
        <v>46377</v>
      </c>
      <c r="W26" s="31">
        <f t="shared" ref="W26" si="352">V26 + 1</f>
        <v>46378</v>
      </c>
      <c r="X26" s="31">
        <f t="shared" ref="X26" si="353">W26 + 1</f>
        <v>46379</v>
      </c>
      <c r="Y26" s="31">
        <f t="shared" ref="Y26" si="354">X26 + 1</f>
        <v>46380</v>
      </c>
      <c r="Z26" s="31">
        <f t="shared" ref="Z26" si="355">Y26 + 1</f>
        <v>46381</v>
      </c>
      <c r="AA26" s="31">
        <f t="shared" ref="AA26" si="356">Z26 + 1</f>
        <v>46382</v>
      </c>
      <c r="AB26" s="31">
        <f t="shared" ref="AB26" si="357">AA26 + 1</f>
        <v>46383</v>
      </c>
      <c r="AC26" s="31">
        <f t="shared" ref="AC26" si="358">AB26 + 1</f>
        <v>46384</v>
      </c>
      <c r="AD26" s="31">
        <f t="shared" ref="AD26" si="359">AC26 + 1</f>
        <v>46385</v>
      </c>
      <c r="AE26" s="31">
        <f t="shared" ref="AE26" si="360">AD26 + 1</f>
        <v>46386</v>
      </c>
      <c r="AF26" s="31">
        <f t="shared" ref="AF26" si="361">AE26 + 1</f>
        <v>46387</v>
      </c>
    </row>
  </sheetData>
  <sheetProtection algorithmName="SHA-512" hashValue="NF5kkIs9e4+rjO2DD6juMeI2C9S/t1ubBQ4j/RDnMl960DqgiIjrRmvsIFNcU4xM2CiUtH92gfE8FburOHOwJQ==" saltValue="Hcst1p7PiEPfYq1/0xRFrQ==" spinCount="100000" sheet="1" objects="1" scenarios="1"/>
  <mergeCells count="13">
    <mergeCell ref="A3:A4"/>
    <mergeCell ref="B1:AF1"/>
    <mergeCell ref="A9:A10"/>
    <mergeCell ref="A11:A12"/>
    <mergeCell ref="A13:A14"/>
    <mergeCell ref="A5:A6"/>
    <mergeCell ref="A7:A8"/>
    <mergeCell ref="A21:A22"/>
    <mergeCell ref="A23:A24"/>
    <mergeCell ref="A25:A26"/>
    <mergeCell ref="A15:A16"/>
    <mergeCell ref="A17:A18"/>
    <mergeCell ref="A19:A20"/>
  </mergeCells>
  <phoneticPr fontId="8" type="noConversion"/>
  <pageMargins left="0.7" right="0.7" top="0.75" bottom="0.75" header="0.3" footer="0.3"/>
  <ignoredErrors>
    <ignoredError sqref="E4 B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D7FE25A9-D4F2-42FB-B6E2-6D1D10DC3FA3}">
            <xm:f>OR(COUNTIF(國定假日!$A:$A, B$6)&gt;0, B$5="Sat", B$5="Sun")</xm:f>
            <x14:dxf>
              <font>
                <color rgb="FFFF0000"/>
              </font>
            </x14:dxf>
          </x14:cfRule>
          <xm:sqref>B5:AC6</xm:sqref>
        </x14:conditionalFormatting>
        <x14:conditionalFormatting xmlns:xm="http://schemas.microsoft.com/office/excel/2006/main">
          <x14:cfRule type="expression" priority="10" id="{35C70F01-128D-45B9-BE78-784741FE835C}">
            <xm:f>OR(COUNTIF(國定假日!$A:$A, B$10)&gt;0, B$9="Sat", B$9="Sun")</xm:f>
            <x14:dxf>
              <font>
                <color rgb="FFFF0000"/>
              </font>
            </x14:dxf>
          </x14:cfRule>
          <xm:sqref>B9:AE10</xm:sqref>
        </x14:conditionalFormatting>
        <x14:conditionalFormatting xmlns:xm="http://schemas.microsoft.com/office/excel/2006/main">
          <x14:cfRule type="expression" priority="8" id="{C17B0F45-FC37-44F2-8339-E4BB6FA3089B}">
            <xm:f>OR(COUNTIF(國定假日!$A:$A, B$14)&gt;0, B$13="Sat", B$13="Sun")</xm:f>
            <x14:dxf>
              <font>
                <color rgb="FFFF0000"/>
              </font>
            </x14:dxf>
          </x14:cfRule>
          <xm:sqref>B13:AE14</xm:sqref>
        </x14:conditionalFormatting>
        <x14:conditionalFormatting xmlns:xm="http://schemas.microsoft.com/office/excel/2006/main">
          <x14:cfRule type="expression" priority="5" id="{B951A3FB-6506-43D6-9F7C-1B456019D10C}">
            <xm:f>OR(COUNTIF(國定假日!$A:$A, B$20)&gt;0, B$19="Sat", B$19="Sun")</xm:f>
            <x14:dxf>
              <font>
                <color rgb="FFFF0000"/>
              </font>
            </x14:dxf>
          </x14:cfRule>
          <xm:sqref>B19:AE20</xm:sqref>
        </x14:conditionalFormatting>
        <x14:conditionalFormatting xmlns:xm="http://schemas.microsoft.com/office/excel/2006/main">
          <x14:cfRule type="expression" priority="3" id="{7EC13C3C-6250-4042-8241-FB5E561A4978}">
            <xm:f>OR(COUNTIF(國定假日!$A:$A, B$24)&gt;0, B$23="Sat", B$23="Sun")</xm:f>
            <x14:dxf>
              <font>
                <color rgb="FFFF0000"/>
              </font>
            </x14:dxf>
          </x14:cfRule>
          <xm:sqref>B23:AE24</xm:sqref>
        </x14:conditionalFormatting>
        <x14:conditionalFormatting xmlns:xm="http://schemas.microsoft.com/office/excel/2006/main">
          <x14:cfRule type="expression" priority="1" id="{77FC4E5C-A99B-4E11-974D-919C21166EC3}">
            <xm:f>OR(COUNTIF(國定假日!$A:$A, B$4)&gt;0, B$3="Sat", B$3="Sun")</xm:f>
            <x14:dxf>
              <font>
                <color rgb="FFFF0000"/>
              </font>
            </x14:dxf>
          </x14:cfRule>
          <xm:sqref>B3:AF4</xm:sqref>
        </x14:conditionalFormatting>
        <x14:conditionalFormatting xmlns:xm="http://schemas.microsoft.com/office/excel/2006/main">
          <x14:cfRule type="expression" priority="11" id="{AB45EE6F-F2E1-48D3-A87D-0487FD67AD11}">
            <xm:f>OR(COUNTIF(國定假日!$A:$A, B$8)&gt;0, B$7="Sat", B$7="Sun")</xm:f>
            <x14:dxf>
              <font>
                <color rgb="FFFF0000"/>
              </font>
            </x14:dxf>
          </x14:cfRule>
          <xm:sqref>B7:AF8</xm:sqref>
        </x14:conditionalFormatting>
        <x14:conditionalFormatting xmlns:xm="http://schemas.microsoft.com/office/excel/2006/main">
          <x14:cfRule type="expression" priority="9" id="{9CB8DEEE-7EC6-484B-91B3-D829A12C7AFA}">
            <xm:f>OR(COUNTIF(國定假日!$A:$A, B$12)&gt;0, B$11="Sat", B$11="Sun")</xm:f>
            <x14:dxf>
              <font>
                <color rgb="FFFF0000"/>
              </font>
            </x14:dxf>
          </x14:cfRule>
          <xm:sqref>B11:AF12</xm:sqref>
        </x14:conditionalFormatting>
        <x14:conditionalFormatting xmlns:xm="http://schemas.microsoft.com/office/excel/2006/main">
          <x14:cfRule type="expression" priority="7" id="{263B2C35-6F7F-4926-940D-79C1CAB3CD6A}">
            <xm:f>OR(COUNTIF(國定假日!$A:$A, B$16)&gt;0, B$15="Sat", B$15="Sun")</xm:f>
            <x14:dxf>
              <font>
                <color rgb="FFFF0000"/>
              </font>
            </x14:dxf>
          </x14:cfRule>
          <xm:sqref>B15:AF16</xm:sqref>
        </x14:conditionalFormatting>
        <x14:conditionalFormatting xmlns:xm="http://schemas.microsoft.com/office/excel/2006/main">
          <x14:cfRule type="expression" priority="6" id="{8680678B-6093-4BEE-8625-CA3D4428F880}">
            <xm:f>OR(COUNTIF(國定假日!$A:$A, B$18)&gt;0, B$17="Sat", B$17="Sun")</xm:f>
            <x14:dxf>
              <font>
                <color rgb="FFFF0000"/>
              </font>
            </x14:dxf>
          </x14:cfRule>
          <xm:sqref>B17:AF18</xm:sqref>
        </x14:conditionalFormatting>
        <x14:conditionalFormatting xmlns:xm="http://schemas.microsoft.com/office/excel/2006/main">
          <x14:cfRule type="expression" priority="4" id="{BCAEDAC8-6BA3-4AE6-BD98-BBA4A7134070}">
            <xm:f>OR(COUNTIF(國定假日!$A:$A, B$22)&gt;0, B$21="Sat", B$21="Sun")</xm:f>
            <x14:dxf>
              <font>
                <color rgb="FFFF0000"/>
              </font>
            </x14:dxf>
          </x14:cfRule>
          <xm:sqref>B21:AF22</xm:sqref>
        </x14:conditionalFormatting>
        <x14:conditionalFormatting xmlns:xm="http://schemas.microsoft.com/office/excel/2006/main">
          <x14:cfRule type="expression" priority="2" id="{EE01A903-0C29-44FD-8505-682C8C07C0E4}">
            <xm:f>OR(COUNTIF(國定假日!$A:$A, B$26)&gt;0, B$25="Sat", B$25="Sun")</xm:f>
            <x14:dxf>
              <font>
                <color rgb="FFFF0000"/>
              </font>
            </x14:dxf>
          </x14:cfRule>
          <xm:sqref>B25:AF26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59B584-660C-4862-978D-A5D557B66CE8}">
          <x14:formula1>
            <xm:f>List!$C$1:$C$13</xm:f>
          </x14:formula1>
          <xm:sqref>A3:A26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744A-0A9E-4415-BAD2-21FB000D690C}">
  <dimension ref="A1:T14"/>
  <sheetViews>
    <sheetView zoomScale="120" zoomScaleNormal="120" workbookViewId="0">
      <selection activeCell="C23" sqref="C23"/>
    </sheetView>
  </sheetViews>
  <sheetFormatPr defaultColWidth="9.140625" defaultRowHeight="18"/>
  <cols>
    <col min="1" max="1" width="18.28515625" style="6" bestFit="1" customWidth="1"/>
    <col min="2" max="3" width="11.28515625" style="8" bestFit="1" customWidth="1"/>
    <col min="4" max="17" width="9.140625" style="6"/>
    <col min="18" max="18" width="9.140625" style="6" customWidth="1"/>
    <col min="19" max="19" width="11.140625" style="6" bestFit="1" customWidth="1"/>
    <col min="20" max="16384" width="9.140625" style="6"/>
  </cols>
  <sheetData>
    <row r="1" spans="1:20" ht="21">
      <c r="A1" s="14" t="s">
        <v>89</v>
      </c>
      <c r="B1" s="14" t="s">
        <v>24</v>
      </c>
      <c r="C1" s="14" t="s">
        <v>6</v>
      </c>
      <c r="D1" s="14" t="s">
        <v>90</v>
      </c>
      <c r="E1" s="15" t="s">
        <v>91</v>
      </c>
      <c r="F1" s="15" t="s">
        <v>92</v>
      </c>
      <c r="G1" s="15" t="s">
        <v>93</v>
      </c>
      <c r="H1" s="15" t="s">
        <v>94</v>
      </c>
      <c r="I1" s="15" t="s">
        <v>84</v>
      </c>
      <c r="J1" s="15" t="s">
        <v>95</v>
      </c>
      <c r="K1" s="15" t="s">
        <v>96</v>
      </c>
      <c r="L1" s="15" t="s">
        <v>97</v>
      </c>
      <c r="M1" s="15" t="s">
        <v>98</v>
      </c>
      <c r="N1" s="15" t="s">
        <v>99</v>
      </c>
      <c r="O1" s="15" t="s">
        <v>100</v>
      </c>
      <c r="P1" s="15" t="s">
        <v>101</v>
      </c>
      <c r="Q1" s="16" t="s">
        <v>102</v>
      </c>
      <c r="R1" s="14" t="s">
        <v>24</v>
      </c>
      <c r="S1" s="14" t="s">
        <v>6</v>
      </c>
      <c r="T1" s="16" t="s">
        <v>103</v>
      </c>
    </row>
    <row r="2" spans="1:20">
      <c r="A2" s="17" t="s">
        <v>30</v>
      </c>
      <c r="B2" s="17">
        <v>14.5</v>
      </c>
      <c r="C2" s="17">
        <v>6</v>
      </c>
      <c r="D2" s="17">
        <f t="shared" ref="D2:D10" si="0">B2+C2</f>
        <v>20.5</v>
      </c>
      <c r="E2" s="17">
        <v>1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>
        <f t="shared" ref="Q2:Q10" si="1">SUM(E2:P2)</f>
        <v>1</v>
      </c>
      <c r="R2" s="17">
        <f>IF(T2 &lt;= C2, 0, MIN(B2, T2 - C2))</f>
        <v>13.5</v>
      </c>
      <c r="S2" s="17">
        <f t="shared" ref="S2:S10" si="2">IF(T2 &lt;= C2, T2, C2)</f>
        <v>6</v>
      </c>
      <c r="T2" s="17">
        <f t="shared" ref="T2:T10" si="3">D2-Q2</f>
        <v>19.5</v>
      </c>
    </row>
    <row r="3" spans="1:20">
      <c r="A3" s="7" t="s">
        <v>14</v>
      </c>
      <c r="B3" s="7">
        <v>15</v>
      </c>
      <c r="C3" s="7">
        <v>6</v>
      </c>
      <c r="D3" s="7">
        <f t="shared" si="0"/>
        <v>21</v>
      </c>
      <c r="E3" s="7">
        <v>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>
        <f t="shared" si="1"/>
        <v>2</v>
      </c>
      <c r="R3" s="7">
        <f t="shared" ref="R3:R10" si="4">IF(T3 &lt;= C3, 0, MIN(B3, T3 - C3))</f>
        <v>13</v>
      </c>
      <c r="S3" s="7">
        <f t="shared" si="2"/>
        <v>6</v>
      </c>
      <c r="T3" s="7">
        <f t="shared" si="3"/>
        <v>19</v>
      </c>
    </row>
    <row r="4" spans="1:20">
      <c r="A4" s="17" t="s">
        <v>32</v>
      </c>
      <c r="B4" s="17">
        <v>14.5</v>
      </c>
      <c r="C4" s="17">
        <v>6</v>
      </c>
      <c r="D4" s="17">
        <f t="shared" si="0"/>
        <v>20.5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>
        <f t="shared" si="1"/>
        <v>0</v>
      </c>
      <c r="R4" s="17">
        <f t="shared" si="4"/>
        <v>14.5</v>
      </c>
      <c r="S4" s="17">
        <f t="shared" si="2"/>
        <v>6</v>
      </c>
      <c r="T4" s="17">
        <f t="shared" si="3"/>
        <v>20.5</v>
      </c>
    </row>
    <row r="5" spans="1:20">
      <c r="A5" s="7" t="s">
        <v>25</v>
      </c>
      <c r="B5" s="7">
        <v>14</v>
      </c>
      <c r="C5" s="7">
        <v>6</v>
      </c>
      <c r="D5" s="7">
        <f t="shared" si="0"/>
        <v>20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>
        <f t="shared" si="1"/>
        <v>0</v>
      </c>
      <c r="R5" s="7">
        <f t="shared" si="4"/>
        <v>14</v>
      </c>
      <c r="S5" s="7">
        <f t="shared" si="2"/>
        <v>6</v>
      </c>
      <c r="T5" s="7">
        <f t="shared" si="3"/>
        <v>20</v>
      </c>
    </row>
    <row r="6" spans="1:20">
      <c r="A6" s="17" t="s">
        <v>8</v>
      </c>
      <c r="B6" s="17">
        <v>16</v>
      </c>
      <c r="C6" s="17">
        <v>6</v>
      </c>
      <c r="D6" s="17">
        <f t="shared" si="0"/>
        <v>22</v>
      </c>
      <c r="E6" s="17">
        <v>1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>
        <f t="shared" si="1"/>
        <v>1</v>
      </c>
      <c r="R6" s="17">
        <f t="shared" si="4"/>
        <v>15</v>
      </c>
      <c r="S6" s="17">
        <f t="shared" si="2"/>
        <v>6</v>
      </c>
      <c r="T6" s="17">
        <f t="shared" si="3"/>
        <v>21</v>
      </c>
    </row>
    <row r="7" spans="1:20">
      <c r="A7" s="7" t="s">
        <v>104</v>
      </c>
      <c r="B7" s="7">
        <v>8.5</v>
      </c>
      <c r="C7" s="7">
        <v>6</v>
      </c>
      <c r="D7" s="7">
        <f t="shared" si="0"/>
        <v>14.5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>
        <f t="shared" si="1"/>
        <v>0</v>
      </c>
      <c r="R7" s="7">
        <f t="shared" si="4"/>
        <v>8.5</v>
      </c>
      <c r="S7" s="7">
        <f t="shared" si="2"/>
        <v>6</v>
      </c>
      <c r="T7" s="7">
        <f t="shared" si="3"/>
        <v>14.5</v>
      </c>
    </row>
    <row r="8" spans="1:20">
      <c r="A8" s="17" t="s">
        <v>37</v>
      </c>
      <c r="B8" s="17">
        <v>16</v>
      </c>
      <c r="C8" s="17">
        <v>6</v>
      </c>
      <c r="D8" s="17">
        <f t="shared" si="0"/>
        <v>22</v>
      </c>
      <c r="E8" s="17">
        <v>1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>
        <f t="shared" si="1"/>
        <v>1</v>
      </c>
      <c r="R8" s="17">
        <f t="shared" si="4"/>
        <v>15</v>
      </c>
      <c r="S8" s="17">
        <f t="shared" si="2"/>
        <v>6</v>
      </c>
      <c r="T8" s="17">
        <f t="shared" si="3"/>
        <v>21</v>
      </c>
    </row>
    <row r="9" spans="1:20">
      <c r="A9" s="7" t="s">
        <v>21</v>
      </c>
      <c r="B9" s="7">
        <v>8</v>
      </c>
      <c r="C9" s="7">
        <v>6</v>
      </c>
      <c r="D9" s="7">
        <f t="shared" si="0"/>
        <v>14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>
        <f t="shared" si="1"/>
        <v>0</v>
      </c>
      <c r="R9" s="7">
        <f t="shared" si="4"/>
        <v>8</v>
      </c>
      <c r="S9" s="7">
        <f t="shared" si="2"/>
        <v>6</v>
      </c>
      <c r="T9" s="7">
        <f t="shared" si="3"/>
        <v>14</v>
      </c>
    </row>
    <row r="10" spans="1:20">
      <c r="A10" s="17" t="s">
        <v>33</v>
      </c>
      <c r="B10" s="17">
        <v>15</v>
      </c>
      <c r="C10" s="17">
        <v>6</v>
      </c>
      <c r="D10" s="17">
        <f t="shared" si="0"/>
        <v>21</v>
      </c>
      <c r="E10" s="17">
        <v>0.5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>
        <f t="shared" si="1"/>
        <v>0.5</v>
      </c>
      <c r="R10" s="17">
        <f t="shared" si="4"/>
        <v>14.5</v>
      </c>
      <c r="S10" s="17">
        <f t="shared" si="2"/>
        <v>6</v>
      </c>
      <c r="T10" s="17">
        <f t="shared" si="3"/>
        <v>20.5</v>
      </c>
    </row>
    <row r="12" spans="1:20">
      <c r="A12" s="84" t="s">
        <v>24</v>
      </c>
      <c r="B12" s="85"/>
      <c r="C12" s="84" t="s">
        <v>105</v>
      </c>
      <c r="D12" s="86"/>
      <c r="E12" s="85"/>
    </row>
    <row r="13" spans="1:20">
      <c r="A13" s="84" t="s">
        <v>6</v>
      </c>
      <c r="B13" s="85"/>
      <c r="C13" s="87" t="s">
        <v>106</v>
      </c>
      <c r="D13" s="88"/>
      <c r="E13" s="89"/>
    </row>
    <row r="14" spans="1:20">
      <c r="A14" s="6" t="s">
        <v>107</v>
      </c>
    </row>
  </sheetData>
  <sortState xmlns:xlrd2="http://schemas.microsoft.com/office/spreadsheetml/2017/richdata2" ref="A2:T10">
    <sortCondition ref="A2:A10"/>
  </sortState>
  <mergeCells count="4">
    <mergeCell ref="A12:B12"/>
    <mergeCell ref="C12:E12"/>
    <mergeCell ref="A13:B13"/>
    <mergeCell ref="C13:E13"/>
  </mergeCells>
  <phoneticPr fontId="8" type="noConversion"/>
  <conditionalFormatting sqref="T2:T10">
    <cfRule type="cellIs" dxfId="0" priority="2" operator="greaterThan">
      <formula>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F284-99C9-41C6-A0BA-02C29156B297}">
  <dimension ref="A1:B21"/>
  <sheetViews>
    <sheetView workbookViewId="0">
      <selection activeCell="B26" sqref="B26"/>
    </sheetView>
  </sheetViews>
  <sheetFormatPr defaultColWidth="9.140625" defaultRowHeight="18"/>
  <cols>
    <col min="1" max="1" width="14.42578125" style="22" bestFit="1" customWidth="1"/>
    <col min="2" max="2" width="54.140625" style="6" bestFit="1" customWidth="1"/>
    <col min="3" max="16384" width="9.140625" style="6"/>
  </cols>
  <sheetData>
    <row r="1" spans="1:2">
      <c r="A1" s="22">
        <v>46016</v>
      </c>
    </row>
    <row r="2" spans="1:2">
      <c r="A2" s="22">
        <v>46023</v>
      </c>
      <c r="B2" s="6" t="s">
        <v>108</v>
      </c>
    </row>
    <row r="3" spans="1:2">
      <c r="A3" s="22">
        <v>46069</v>
      </c>
      <c r="B3" s="90" t="s">
        <v>109</v>
      </c>
    </row>
    <row r="4" spans="1:2">
      <c r="A4" s="22">
        <v>46070</v>
      </c>
      <c r="B4" s="90"/>
    </row>
    <row r="5" spans="1:2">
      <c r="A5" s="22">
        <v>46071</v>
      </c>
      <c r="B5" s="90"/>
    </row>
    <row r="6" spans="1:2">
      <c r="A6" s="22">
        <v>46072</v>
      </c>
      <c r="B6" s="90"/>
    </row>
    <row r="7" spans="1:2">
      <c r="A7" s="22">
        <v>46073</v>
      </c>
      <c r="B7" s="90"/>
    </row>
    <row r="8" spans="1:2">
      <c r="A8" s="22">
        <v>46074</v>
      </c>
      <c r="B8" s="90"/>
    </row>
    <row r="9" spans="1:2">
      <c r="A9" s="22">
        <v>46075</v>
      </c>
      <c r="B9" s="90"/>
    </row>
    <row r="10" spans="1:2">
      <c r="A10" s="22">
        <v>46080</v>
      </c>
      <c r="B10" s="6" t="s">
        <v>110</v>
      </c>
    </row>
    <row r="11" spans="1:2">
      <c r="A11" s="22">
        <v>46115</v>
      </c>
      <c r="B11" s="90" t="s">
        <v>111</v>
      </c>
    </row>
    <row r="12" spans="1:2">
      <c r="A12" s="22">
        <v>46116</v>
      </c>
      <c r="B12" s="90"/>
    </row>
    <row r="13" spans="1:2">
      <c r="A13" s="22">
        <v>46117</v>
      </c>
      <c r="B13" s="90"/>
    </row>
    <row r="14" spans="1:2">
      <c r="A14" s="22">
        <v>46118</v>
      </c>
      <c r="B14" s="90"/>
    </row>
    <row r="15" spans="1:2">
      <c r="A15" s="22">
        <v>46143</v>
      </c>
      <c r="B15" s="6" t="s">
        <v>112</v>
      </c>
    </row>
    <row r="16" spans="1:2">
      <c r="A16" s="22">
        <v>46192</v>
      </c>
      <c r="B16" s="6" t="s">
        <v>113</v>
      </c>
    </row>
    <row r="17" spans="1:2">
      <c r="A17" s="22">
        <v>46290</v>
      </c>
      <c r="B17" s="6" t="s">
        <v>114</v>
      </c>
    </row>
    <row r="18" spans="1:2">
      <c r="A18" s="22">
        <v>46293</v>
      </c>
      <c r="B18" s="6" t="s">
        <v>115</v>
      </c>
    </row>
    <row r="19" spans="1:2">
      <c r="A19" s="22">
        <v>46304</v>
      </c>
      <c r="B19" s="6" t="s">
        <v>116</v>
      </c>
    </row>
    <row r="20" spans="1:2">
      <c r="A20" s="22">
        <v>46321</v>
      </c>
      <c r="B20" s="6" t="s">
        <v>117</v>
      </c>
    </row>
    <row r="21" spans="1:2">
      <c r="A21" s="22">
        <v>46381</v>
      </c>
      <c r="B21" s="6" t="s">
        <v>118</v>
      </c>
    </row>
  </sheetData>
  <sheetProtection algorithmName="SHA-512" hashValue="8Dx7LP6bnQPcFbzCKCOFVxTyjNgYiaRVQ4CzONK8CKB+BUVAGwP+AHXUS5pF0Sj1AqCFOuOjmcx+WF42fIRR+A==" saltValue="VeixXAr7A1Kvj9l9B8zZxw==" spinCount="100000" sheet="1" objects="1" scenarios="1"/>
  <mergeCells count="2">
    <mergeCell ref="B3:B9"/>
    <mergeCell ref="B11:B14"/>
  </mergeCells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EE224BA4573F47A1CAABCE7EF61D75" ma:contentTypeVersion="25" ma:contentTypeDescription="Create a new document." ma:contentTypeScope="" ma:versionID="4d19be134c5af113768ce574a4636403">
  <xsd:schema xmlns:xsd="http://www.w3.org/2001/XMLSchema" xmlns:xs="http://www.w3.org/2001/XMLSchema" xmlns:p="http://schemas.microsoft.com/office/2006/metadata/properties" xmlns:ns2="f2a46d34-31ee-43fb-b156-82bed98ce464" xmlns:ns3="e9de7944-dd7d-4cec-bbfa-08e77e35b29f" targetNamespace="http://schemas.microsoft.com/office/2006/metadata/properties" ma:root="true" ma:fieldsID="9a4764fba864407790e0a349f73c67a1" ns2:_="" ns3:_="">
    <xsd:import namespace="f2a46d34-31ee-43fb-b156-82bed98ce464"/>
    <xsd:import namespace="e9de7944-dd7d-4cec-bbfa-08e77e35b29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_x0031_" minOccurs="0"/>
                <xsd:element ref="ns2:_x0032_" minOccurs="0"/>
                <xsd:element ref="ns2:_x6392__x5e8f_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46d34-31ee-43fb-b156-82bed98ce464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ternalName="_dlc_DocId" ma:readOnly="false">
      <xsd:simpleType>
        <xsd:restriction base="dms:Text"/>
      </xsd:simpleType>
    </xsd:element>
    <xsd:element name="_dlc_DocIdUrl" ma:index="5" nillable="true" ma:displayName="Document ID" ma:description="Permanent link to this document." ma:format="Hyperlink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aa6bc26-8dc5-4c91-bed4-7e5f1f5a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x0031_" ma:index="24" nillable="true" ma:displayName="1" ma:format="Dropdown" ma:internalName="_x0031_" ma:percentage="FALSE">
      <xsd:simpleType>
        <xsd:restriction base="dms:Number"/>
      </xsd:simpleType>
    </xsd:element>
    <xsd:element name="_x0032_" ma:index="25" nillable="true" ma:displayName="2" ma:format="Dropdown" ma:internalName="_x0032_">
      <xsd:simpleType>
        <xsd:restriction base="dms:Text">
          <xsd:maxLength value="255"/>
        </xsd:restriction>
      </xsd:simpleType>
    </xsd:element>
    <xsd:element name="_x6392__x5e8f_" ma:index="26" nillable="true" ma:displayName="排序" ma:format="Dropdown" ma:internalName="_x6392__x5e8f_" ma:percentage="FALSE">
      <xsd:simpleType>
        <xsd:restriction base="dms:Number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e7944-dd7d-4cec-bbfa-08e77e35b29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acbb251-9c4c-44b7-b75a-574f59a62fcf}" ma:internalName="TaxCatchAll" ma:showField="CatchAllData" ma:web="e9de7944-dd7d-4cec-bbfa-08e77e35b2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46d34-31ee-43fb-b156-82bed98ce464">
      <Terms xmlns="http://schemas.microsoft.com/office/infopath/2007/PartnerControls"/>
    </lcf76f155ced4ddcb4097134ff3c332f>
    <TaxCatchAll xmlns="e9de7944-dd7d-4cec-bbfa-08e77e35b29f" xsi:nil="true"/>
    <_dlc_DocIdUrl xmlns="f2a46d34-31ee-43fb-b156-82bed98ce464">
      <Url xsi:nil="true"/>
      <Description xsi:nil="true"/>
    </_dlc_DocIdUrl>
    <_x0032_ xmlns="f2a46d34-31ee-43fb-b156-82bed98ce464" xsi:nil="true"/>
    <_x0031_ xmlns="f2a46d34-31ee-43fb-b156-82bed98ce464" xsi:nil="true"/>
    <_dlc_DocId xmlns="f2a46d34-31ee-43fb-b156-82bed98ce464" xsi:nil="true"/>
    <_dlc_DocIdPersistId xmlns="f2a46d34-31ee-43fb-b156-82bed98ce464" xsi:nil="true"/>
    <_x6392__x5e8f_ xmlns="f2a46d34-31ee-43fb-b156-82bed98ce464" xsi:nil="true"/>
  </documentManagement>
</p:properties>
</file>

<file path=customXml/itemProps1.xml><?xml version="1.0" encoding="utf-8"?>
<ds:datastoreItem xmlns:ds="http://schemas.openxmlformats.org/officeDocument/2006/customXml" ds:itemID="{C7F9DFAE-E968-4B44-B4FC-35956576CDBD}"/>
</file>

<file path=customXml/itemProps2.xml><?xml version="1.0" encoding="utf-8"?>
<ds:datastoreItem xmlns:ds="http://schemas.openxmlformats.org/officeDocument/2006/customXml" ds:itemID="{028E835A-5D51-496E-AAB6-1018FDFEBA95}"/>
</file>

<file path=customXml/itemProps3.xml><?xml version="1.0" encoding="utf-8"?>
<ds:datastoreItem xmlns:ds="http://schemas.openxmlformats.org/officeDocument/2006/customXml" ds:itemID="{84E9F30A-6E67-4ACA-8235-7F2E51ED4B23}"/>
</file>

<file path=customXml/itemProps4.xml><?xml version="1.0" encoding="utf-8"?>
<ds:datastoreItem xmlns:ds="http://schemas.openxmlformats.org/officeDocument/2006/customXml" ds:itemID="{22A08D1F-28F9-417C-8F04-FAD83E22AC95}"/>
</file>

<file path=docMetadata/LabelInfo.xml><?xml version="1.0" encoding="utf-8"?>
<clbl:labelList xmlns:clbl="http://schemas.microsoft.com/office/2020/mipLabelMetadata">
  <clbl:label id="{d176fefe-83de-4b32-859d-542d6c2f6125}" enabled="1" method="Standard" siteId="{64e5ad32-cb04-44df-8896-bed5d77924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Hu, Kenny</dc:creator>
  <cp:keywords/>
  <dc:description/>
  <cp:lastModifiedBy>Tsai, Will</cp:lastModifiedBy>
  <cp:revision/>
  <dcterms:created xsi:type="dcterms:W3CDTF">2022-11-16T06:27:58Z</dcterms:created>
  <dcterms:modified xsi:type="dcterms:W3CDTF">2026-02-25T01:22:45Z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0x010100D8EE224BA4573F47A1CAABCE7EF61D75</vt:lpwstr>
  </property>
  <property fmtid="{D5CDD505-2E9C-101B-9397-08002B2CF9AE}" pid="3" name="_dlc_DocIdItemGuid">
    <vt:lpwstr>e49119b0-cca0-4c63-888c-600e84783a07</vt:lpwstr>
  </property>
  <property fmtid="{D5CDD505-2E9C-101B-9397-08002B2CF9AE}" pid="4" name="MediaServiceImageTags">
    <vt:lpwstr/>
  </property>
</Properties>
</file>