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urion.sharepoint.com/teams/Taiwan/taiwancallcenter/Shared Documents/營運管理/班表/班表彙整/2026/7月/"/>
    </mc:Choice>
  </mc:AlternateContent>
  <xr:revisionPtr revIDLastSave="1284" documentId="8_{D573B2F3-F30A-48F4-9C21-358BF15B7CBA}" xr6:coauthVersionLast="47" xr6:coauthVersionMax="47" xr10:uidLastSave="{DD56861E-FE56-40AF-8567-2CDAC92812D5}"/>
  <bookViews>
    <workbookView xWindow="-108" yWindow="-108" windowWidth="23256" windowHeight="12456" tabRatio="523" xr2:uid="{F655A811-1ABD-4677-893F-B2248E2E15B4}"/>
  </bookViews>
  <sheets>
    <sheet name="202607v2" sheetId="55" r:id="rId1"/>
    <sheet name="特休日數" sheetId="26" r:id="rId2"/>
    <sheet name="長假申請彙整" sheetId="47" r:id="rId3"/>
    <sheet name="國定假日" sheetId="38" state="hidden" r:id="rId4"/>
    <sheet name="List" sheetId="6" state="hidden" r:id="rId5"/>
  </sheets>
  <definedNames>
    <definedName name="_xlnm._FilterDatabase" localSheetId="1" hidden="1">特休日數!$A$1:$T$1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7" i="55" l="1"/>
  <c r="AR19" i="55" l="1"/>
  <c r="AR17" i="55"/>
  <c r="AR13" i="55"/>
  <c r="AR9" i="55"/>
  <c r="AR7" i="55"/>
  <c r="AR5" i="55"/>
  <c r="AR3" i="55"/>
  <c r="F19" i="55" a="1"/>
  <c r="F19" i="55" s="1"/>
  <c r="E15" i="55" a="1"/>
  <c r="E15" i="55" s="1"/>
  <c r="AN15" i="55"/>
  <c r="AK11" i="55"/>
  <c r="E11" i="55" s="1" a="1"/>
  <c r="E11" i="55" s="1"/>
  <c r="AL11" i="55"/>
  <c r="F17" i="55" a="1"/>
  <c r="F17" i="55" s="1"/>
  <c r="F13" i="55" a="1"/>
  <c r="F13" i="55" s="1"/>
  <c r="F3" i="55" a="1"/>
  <c r="F3" i="55" s="1"/>
  <c r="E17" i="55" a="1"/>
  <c r="E17" i="55" s="1"/>
  <c r="E19" i="55" a="1"/>
  <c r="E19" i="55" s="1"/>
  <c r="E13" i="55" a="1"/>
  <c r="E13" i="55" s="1"/>
  <c r="E9" i="55" a="1"/>
  <c r="E9" i="55" s="1"/>
  <c r="E7" i="55" a="1"/>
  <c r="E7" i="55" s="1"/>
  <c r="E5" i="55" a="1"/>
  <c r="E5" i="55" s="1"/>
  <c r="E3" i="55" a="1"/>
  <c r="E3" i="55" s="1"/>
  <c r="F15" i="55" l="1" a="1"/>
  <c r="F15" i="55" s="1"/>
  <c r="F11" i="55" l="1" a="1"/>
  <c r="F11" i="55" s="1"/>
  <c r="F9" i="55" a="1"/>
  <c r="F9" i="55"/>
  <c r="F7" i="55" a="1"/>
  <c r="F7" i="55" s="1"/>
  <c r="F5" i="55" a="1"/>
  <c r="F5" i="55"/>
  <c r="W9" i="55"/>
  <c r="AN29" i="55" a="1"/>
  <c r="AN29" i="55" s="1"/>
  <c r="AN24" i="55" a="1"/>
  <c r="AN24" i="55" s="1"/>
  <c r="AN25" i="55" a="1"/>
  <c r="AN25" i="55" s="1"/>
  <c r="AN26" i="55" a="1"/>
  <c r="AN26" i="55" s="1"/>
  <c r="AN19" i="55"/>
  <c r="AN13" i="55"/>
  <c r="AN11" i="55"/>
  <c r="AN9" i="55"/>
  <c r="AN7" i="55"/>
  <c r="AK5" i="55"/>
  <c r="AN5" i="55"/>
  <c r="AN3" i="55"/>
  <c r="AN2" i="55"/>
  <c r="AN1" i="55"/>
  <c r="AN27" i="55" l="1"/>
  <c r="AN21" i="55" s="1" a="1"/>
  <c r="AN21" i="55" s="1"/>
  <c r="AR15" i="55" l="1"/>
  <c r="AR11" i="55"/>
  <c r="AQ3" i="55" l="1"/>
  <c r="AQ17" i="55" l="1"/>
  <c r="AQ15" i="55"/>
  <c r="AQ13" i="55"/>
  <c r="AQ11" i="55"/>
  <c r="AQ9" i="55"/>
  <c r="AQ5" i="55"/>
  <c r="J2" i="55"/>
  <c r="K2" i="55" s="1"/>
  <c r="K1" i="55" s="1"/>
  <c r="C2" i="55"/>
  <c r="B2" i="55" s="1"/>
  <c r="K19" i="55" l="1"/>
  <c r="K3" i="55"/>
  <c r="K29" i="55" s="1" a="1"/>
  <c r="K29" i="55" s="1"/>
  <c r="K9" i="55"/>
  <c r="K11" i="55"/>
  <c r="K7" i="55"/>
  <c r="K5" i="55"/>
  <c r="K13" i="55"/>
  <c r="K15" i="55"/>
  <c r="K17" i="55"/>
  <c r="L2" i="55"/>
  <c r="J1" i="55"/>
  <c r="J15" i="55" l="1"/>
  <c r="K26" i="55" a="1"/>
  <c r="K26" i="55" s="1"/>
  <c r="K24" i="55" a="1"/>
  <c r="K24" i="55" s="1"/>
  <c r="K25" i="55" a="1"/>
  <c r="K25" i="55" s="1"/>
  <c r="J19" i="55"/>
  <c r="J17" i="55"/>
  <c r="J11" i="55"/>
  <c r="J5" i="55"/>
  <c r="J29" i="55" s="1" a="1"/>
  <c r="J29" i="55" s="1"/>
  <c r="J7" i="55"/>
  <c r="L1" i="55"/>
  <c r="M2" i="55"/>
  <c r="L19" i="55" l="1"/>
  <c r="J26" i="55" a="1"/>
  <c r="J26" i="55" s="1"/>
  <c r="J25" i="55" a="1"/>
  <c r="J25" i="55" s="1"/>
  <c r="J24" i="55" a="1"/>
  <c r="J24" i="55" s="1"/>
  <c r="L29" i="55" a="1"/>
  <c r="L29" i="55" s="1"/>
  <c r="L13" i="55"/>
  <c r="L9" i="55"/>
  <c r="L11" i="55"/>
  <c r="M1" i="55"/>
  <c r="N2" i="55"/>
  <c r="K27" i="55"/>
  <c r="K21" i="55" s="1" a="1"/>
  <c r="K21" i="55" s="1"/>
  <c r="M19" i="55" l="1"/>
  <c r="M29" i="55" a="1"/>
  <c r="M29" i="55" s="1"/>
  <c r="L24" i="55" a="1"/>
  <c r="L24" i="55" s="1"/>
  <c r="L25" i="55" a="1"/>
  <c r="L25" i="55" s="1"/>
  <c r="L26" i="55" a="1"/>
  <c r="L26" i="55" s="1"/>
  <c r="M13" i="55"/>
  <c r="M5" i="55"/>
  <c r="M9" i="55"/>
  <c r="M3" i="55"/>
  <c r="M17" i="55"/>
  <c r="M15" i="55"/>
  <c r="M11" i="55"/>
  <c r="J27" i="55"/>
  <c r="J21" i="55" s="1" a="1"/>
  <c r="J21" i="55" s="1"/>
  <c r="O2" i="55"/>
  <c r="N1" i="55"/>
  <c r="N29" i="55" s="1" a="1"/>
  <c r="N29" i="55" s="1"/>
  <c r="M26" i="55" l="1" a="1"/>
  <c r="M26" i="55" s="1"/>
  <c r="M25" i="55" a="1"/>
  <c r="M25" i="55" s="1"/>
  <c r="M24" i="55" a="1"/>
  <c r="M24" i="55" s="1"/>
  <c r="N9" i="55"/>
  <c r="N13" i="55"/>
  <c r="N7" i="55"/>
  <c r="N3" i="55"/>
  <c r="N15" i="55"/>
  <c r="L27" i="55"/>
  <c r="L21" i="55" s="1" a="1"/>
  <c r="L21" i="55" s="1"/>
  <c r="P2" i="55"/>
  <c r="O1" i="55"/>
  <c r="N26" i="55" l="1" a="1"/>
  <c r="N26" i="55" s="1"/>
  <c r="N24" i="55" a="1"/>
  <c r="N24" i="55" s="1"/>
  <c r="N25" i="55" a="1"/>
  <c r="N25" i="55" s="1"/>
  <c r="O13" i="55"/>
  <c r="O9" i="55"/>
  <c r="O3" i="55"/>
  <c r="O29" i="55" s="1" a="1"/>
  <c r="O29" i="55" s="1"/>
  <c r="O5" i="55"/>
  <c r="O11" i="55"/>
  <c r="O15" i="55"/>
  <c r="O7" i="55"/>
  <c r="O17" i="55"/>
  <c r="M27" i="55"/>
  <c r="M21" i="55" s="1" a="1"/>
  <c r="M21" i="55" s="1"/>
  <c r="Q2" i="55"/>
  <c r="P1" i="55"/>
  <c r="O26" i="55" l="1" a="1"/>
  <c r="O26" i="55" s="1"/>
  <c r="P19" i="55"/>
  <c r="P5" i="55"/>
  <c r="O24" i="55" a="1"/>
  <c r="O24" i="55" s="1"/>
  <c r="O25" i="55" a="1"/>
  <c r="O25" i="55" s="1"/>
  <c r="P15" i="55"/>
  <c r="P3" i="55"/>
  <c r="P29" i="55" s="1" a="1"/>
  <c r="P29" i="55" s="1"/>
  <c r="P13" i="55"/>
  <c r="P7" i="55"/>
  <c r="P9" i="55"/>
  <c r="P11" i="55"/>
  <c r="P17" i="55"/>
  <c r="R2" i="55"/>
  <c r="Q1" i="55"/>
  <c r="N27" i="55"/>
  <c r="N21" i="55" s="1" a="1"/>
  <c r="N21" i="55" s="1"/>
  <c r="P26" i="55" l="1" a="1"/>
  <c r="P26" i="55" s="1"/>
  <c r="P24" i="55" a="1"/>
  <c r="P24" i="55" s="1"/>
  <c r="P25" i="55" a="1"/>
  <c r="P25" i="55" s="1"/>
  <c r="Q19" i="55"/>
  <c r="Q15" i="55"/>
  <c r="Q7" i="55"/>
  <c r="Q17" i="55"/>
  <c r="Q5" i="55"/>
  <c r="Q3" i="55"/>
  <c r="Q29" i="55" s="1" a="1"/>
  <c r="Q29" i="55" s="1"/>
  <c r="Q9" i="55"/>
  <c r="Q11" i="55"/>
  <c r="Q13" i="55"/>
  <c r="O27" i="55"/>
  <c r="O21" i="55" s="1" a="1"/>
  <c r="O21" i="55" s="1"/>
  <c r="R1" i="55"/>
  <c r="S2" i="55"/>
  <c r="R19" i="55" l="1"/>
  <c r="R3" i="55"/>
  <c r="R29" i="55" s="1" a="1"/>
  <c r="R29" i="55" s="1"/>
  <c r="R11" i="55"/>
  <c r="Q26" i="55" a="1"/>
  <c r="Q26" i="55" s="1"/>
  <c r="Q24" i="55" a="1"/>
  <c r="Q24" i="55" s="1"/>
  <c r="Q25" i="55" a="1"/>
  <c r="Q25" i="55" s="1"/>
  <c r="R15" i="55"/>
  <c r="R13" i="55"/>
  <c r="R7" i="55"/>
  <c r="R17" i="55"/>
  <c r="R9" i="55"/>
  <c r="P27" i="55"/>
  <c r="P21" i="55" s="1" a="1"/>
  <c r="P21" i="55" s="1"/>
  <c r="T2" i="55"/>
  <c r="S1" i="55"/>
  <c r="S19" i="55" l="1"/>
  <c r="R26" i="55" a="1"/>
  <c r="R26" i="55" s="1"/>
  <c r="R24" i="55" a="1"/>
  <c r="R24" i="55" s="1"/>
  <c r="R25" i="55" a="1"/>
  <c r="R25" i="55" s="1"/>
  <c r="S7" i="55"/>
  <c r="S13" i="55"/>
  <c r="S15" i="55"/>
  <c r="S17" i="55"/>
  <c r="S9" i="55"/>
  <c r="S11" i="55"/>
  <c r="S3" i="55"/>
  <c r="S29" i="55" s="1" a="1"/>
  <c r="S29" i="55" s="1"/>
  <c r="S5" i="55"/>
  <c r="U2" i="55"/>
  <c r="T1" i="55"/>
  <c r="Q27" i="55"/>
  <c r="Q21" i="55" s="1" a="1"/>
  <c r="Q21" i="55" s="1"/>
  <c r="T19" i="55" l="1"/>
  <c r="T29" i="55" a="1"/>
  <c r="T29" i="55" s="1"/>
  <c r="S26" i="55" a="1"/>
  <c r="S26" i="55" s="1"/>
  <c r="S24" i="55" a="1"/>
  <c r="S24" i="55" s="1"/>
  <c r="S25" i="55" a="1"/>
  <c r="S25" i="55" s="1"/>
  <c r="T15" i="55"/>
  <c r="T13" i="55"/>
  <c r="T17" i="55"/>
  <c r="T9" i="55"/>
  <c r="T11" i="55"/>
  <c r="T3" i="55"/>
  <c r="T5" i="55"/>
  <c r="R27" i="55"/>
  <c r="R21" i="55" s="1" a="1"/>
  <c r="R21" i="55" s="1"/>
  <c r="U1" i="55"/>
  <c r="V2" i="55"/>
  <c r="U19" i="55" l="1"/>
  <c r="U29" i="55" a="1"/>
  <c r="U29" i="55" s="1"/>
  <c r="T26" i="55" a="1"/>
  <c r="T26" i="55" s="1"/>
  <c r="T25" i="55" a="1"/>
  <c r="T25" i="55" s="1"/>
  <c r="T24" i="55" a="1"/>
  <c r="T24" i="55" s="1"/>
  <c r="U3" i="55"/>
  <c r="U13" i="55"/>
  <c r="U17" i="55"/>
  <c r="U9" i="55"/>
  <c r="U5" i="55"/>
  <c r="U15" i="55"/>
  <c r="U7" i="55"/>
  <c r="S27" i="55"/>
  <c r="S21" i="55" s="1" a="1"/>
  <c r="S21" i="55" s="1"/>
  <c r="V1" i="55"/>
  <c r="W2" i="55"/>
  <c r="V19" i="55" l="1"/>
  <c r="U26" i="55" a="1"/>
  <c r="U26" i="55" s="1"/>
  <c r="U25" i="55" a="1"/>
  <c r="U25" i="55" s="1"/>
  <c r="U24" i="55" a="1"/>
  <c r="U24" i="55" s="1"/>
  <c r="V17" i="55"/>
  <c r="V9" i="55"/>
  <c r="V3" i="55"/>
  <c r="V29" i="55" s="1" a="1"/>
  <c r="V29" i="55" s="1"/>
  <c r="V15" i="55"/>
  <c r="V7" i="55"/>
  <c r="V13" i="55"/>
  <c r="V11" i="55"/>
  <c r="V5" i="55"/>
  <c r="T27" i="55"/>
  <c r="T21" i="55" s="1" a="1"/>
  <c r="T21" i="55" s="1"/>
  <c r="X2" i="55"/>
  <c r="W1" i="55"/>
  <c r="V26" i="55" l="1" a="1"/>
  <c r="V26" i="55" s="1"/>
  <c r="W19" i="55"/>
  <c r="W11" i="55"/>
  <c r="V24" i="55" a="1"/>
  <c r="V24" i="55" s="1"/>
  <c r="V25" i="55" a="1"/>
  <c r="V25" i="55" s="1"/>
  <c r="W17" i="55"/>
  <c r="W3" i="55"/>
  <c r="W29" i="55" s="1" a="1"/>
  <c r="W29" i="55" s="1"/>
  <c r="W13" i="55"/>
  <c r="W5" i="55"/>
  <c r="W15" i="55"/>
  <c r="W7" i="55"/>
  <c r="U27" i="55"/>
  <c r="U21" i="55" s="1" a="1"/>
  <c r="U21" i="55" s="1"/>
  <c r="X1" i="55"/>
  <c r="Y2" i="55"/>
  <c r="X19" i="55" l="1"/>
  <c r="W26" i="55" a="1"/>
  <c r="W26" i="55" s="1"/>
  <c r="W24" i="55" a="1"/>
  <c r="W24" i="55" s="1"/>
  <c r="W25" i="55" a="1"/>
  <c r="W25" i="55" s="1"/>
  <c r="X13" i="55"/>
  <c r="X15" i="55"/>
  <c r="X17" i="55"/>
  <c r="X5" i="55"/>
  <c r="X7" i="55"/>
  <c r="X11" i="55"/>
  <c r="X3" i="55"/>
  <c r="X29" i="55" s="1" a="1"/>
  <c r="X29" i="55" s="1"/>
  <c r="X9" i="55"/>
  <c r="Z2" i="55"/>
  <c r="Y1" i="55"/>
  <c r="V27" i="55"/>
  <c r="V21" i="55" s="1" a="1"/>
  <c r="V21" i="55" s="1"/>
  <c r="Y19" i="55" l="1"/>
  <c r="X26" i="55" a="1"/>
  <c r="X26" i="55" s="1"/>
  <c r="X25" i="55" a="1"/>
  <c r="X25" i="55" s="1"/>
  <c r="X24" i="55" a="1"/>
  <c r="X24" i="55" s="1"/>
  <c r="Y13" i="55"/>
  <c r="Y7" i="55"/>
  <c r="Y11" i="55"/>
  <c r="Y15" i="55"/>
  <c r="Y3" i="55"/>
  <c r="Y29" i="55" s="1" a="1"/>
  <c r="Y29" i="55" s="1"/>
  <c r="Y5" i="55"/>
  <c r="Y17" i="55"/>
  <c r="Y9" i="55"/>
  <c r="AA2" i="55"/>
  <c r="Z1" i="55"/>
  <c r="W27" i="55"/>
  <c r="W21" i="55" s="1" a="1"/>
  <c r="W21" i="55" s="1"/>
  <c r="Z19" i="55" l="1"/>
  <c r="Y26" i="55" a="1"/>
  <c r="Y26" i="55" s="1"/>
  <c r="Y24" i="55" a="1"/>
  <c r="Y24" i="55" s="1"/>
  <c r="Y25" i="55" a="1"/>
  <c r="Y25" i="55" s="1"/>
  <c r="Z7" i="55"/>
  <c r="Z11" i="55"/>
  <c r="Z3" i="55"/>
  <c r="Z29" i="55" s="1" a="1"/>
  <c r="Z29" i="55" s="1"/>
  <c r="Z9" i="55"/>
  <c r="Z13" i="55"/>
  <c r="Z5" i="55"/>
  <c r="Z17" i="55"/>
  <c r="AA1" i="55"/>
  <c r="AB2" i="55"/>
  <c r="X27" i="55"/>
  <c r="X21" i="55" s="1" a="1"/>
  <c r="X21" i="55" s="1"/>
  <c r="AA19" i="55" l="1"/>
  <c r="AA29" i="55" a="1"/>
  <c r="AA29" i="55" s="1"/>
  <c r="Z26" i="55" a="1"/>
  <c r="Z26" i="55" s="1"/>
  <c r="Z24" i="55" a="1"/>
  <c r="Z24" i="55" s="1"/>
  <c r="Z25" i="55" a="1"/>
  <c r="Z25" i="55" s="1"/>
  <c r="AA11" i="55"/>
  <c r="AA3" i="55"/>
  <c r="AA9" i="55"/>
  <c r="AA15" i="55"/>
  <c r="AA5" i="55"/>
  <c r="AA13" i="55"/>
  <c r="AA17" i="55"/>
  <c r="AC2" i="55"/>
  <c r="AB1" i="55"/>
  <c r="AB29" i="55" s="1" a="1"/>
  <c r="AB29" i="55" s="1"/>
  <c r="Y27" i="55"/>
  <c r="Y21" i="55" s="1" a="1"/>
  <c r="Y21" i="55" s="1"/>
  <c r="AB19" i="55" l="1"/>
  <c r="AB3" i="55"/>
  <c r="AB9" i="55"/>
  <c r="AA26" i="55" a="1"/>
  <c r="AA26" i="55" s="1"/>
  <c r="AA24" i="55" a="1"/>
  <c r="AA24" i="55" s="1"/>
  <c r="AA25" i="55" a="1"/>
  <c r="AA25" i="55" s="1"/>
  <c r="AB15" i="55"/>
  <c r="AB13" i="55"/>
  <c r="AB7" i="55"/>
  <c r="AB17" i="55"/>
  <c r="AB5" i="55"/>
  <c r="Z27" i="55"/>
  <c r="Z21" i="55" s="1" a="1"/>
  <c r="Z21" i="55" s="1"/>
  <c r="AC1" i="55"/>
  <c r="AD2" i="55"/>
  <c r="AC19" i="55" l="1"/>
  <c r="AB26" i="55" a="1"/>
  <c r="AB26" i="55" s="1"/>
  <c r="AB24" i="55" a="1"/>
  <c r="AB24" i="55" s="1"/>
  <c r="AB25" i="55" a="1"/>
  <c r="AB25" i="55" s="1"/>
  <c r="AC13" i="55"/>
  <c r="AC7" i="55"/>
  <c r="AC9" i="55"/>
  <c r="AC5" i="55"/>
  <c r="AC15" i="55"/>
  <c r="AC17" i="55"/>
  <c r="AC11" i="55"/>
  <c r="AC3" i="55"/>
  <c r="AC29" i="55" s="1" a="1"/>
  <c r="AC29" i="55" s="1"/>
  <c r="AD1" i="55"/>
  <c r="AE2" i="55"/>
  <c r="AA27" i="55"/>
  <c r="AA21" i="55" s="1" a="1"/>
  <c r="AA21" i="55" s="1"/>
  <c r="AC26" i="55" l="1" a="1"/>
  <c r="AC26" i="55" s="1"/>
  <c r="AD19" i="55"/>
  <c r="AD3" i="55"/>
  <c r="AC24" i="55" a="1"/>
  <c r="AC24" i="55" s="1"/>
  <c r="AC25" i="55" a="1"/>
  <c r="AC25" i="55" s="1"/>
  <c r="AD5" i="55"/>
  <c r="AD29" i="55" s="1" a="1"/>
  <c r="AD29" i="55" s="1"/>
  <c r="AD13" i="55"/>
  <c r="AD9" i="55"/>
  <c r="AD11" i="55"/>
  <c r="AD7" i="55"/>
  <c r="AD15" i="55"/>
  <c r="AD17" i="55"/>
  <c r="AB27" i="55"/>
  <c r="AB21" i="55" s="1" a="1"/>
  <c r="AB21" i="55" s="1"/>
  <c r="AE1" i="55"/>
  <c r="AF2" i="55"/>
  <c r="AE19" i="55" l="1"/>
  <c r="AE9" i="55"/>
  <c r="AE3" i="55"/>
  <c r="AE29" i="55" s="1" a="1"/>
  <c r="AE29" i="55" s="1"/>
  <c r="AD26" i="55" a="1"/>
  <c r="AD26" i="55" s="1"/>
  <c r="AD24" i="55" a="1"/>
  <c r="AD24" i="55" s="1"/>
  <c r="AD25" i="55" a="1"/>
  <c r="AD25" i="55" s="1"/>
  <c r="AE13" i="55"/>
  <c r="AE5" i="55"/>
  <c r="AE7" i="55"/>
  <c r="AE11" i="55"/>
  <c r="AE15" i="55"/>
  <c r="AE17" i="55"/>
  <c r="AF1" i="55"/>
  <c r="AG2" i="55"/>
  <c r="AC27" i="55"/>
  <c r="AC21" i="55" s="1" a="1"/>
  <c r="AC21" i="55" s="1"/>
  <c r="AE26" i="55" l="1" a="1"/>
  <c r="AE26" i="55" s="1"/>
  <c r="AE24" i="55" a="1"/>
  <c r="AE24" i="55" s="1"/>
  <c r="AE25" i="55" a="1"/>
  <c r="AE25" i="55" s="1"/>
  <c r="AF5" i="55"/>
  <c r="AF9" i="55"/>
  <c r="AF3" i="55"/>
  <c r="AF29" i="55" s="1" a="1"/>
  <c r="AF29" i="55" s="1"/>
  <c r="AF15" i="55"/>
  <c r="AF7" i="55"/>
  <c r="AF17" i="55"/>
  <c r="AF11" i="55"/>
  <c r="AF13" i="55"/>
  <c r="AD27" i="55"/>
  <c r="AD21" i="55" s="1" a="1"/>
  <c r="AD21" i="55" s="1"/>
  <c r="AG1" i="55"/>
  <c r="AH2" i="55"/>
  <c r="AF26" i="55" l="1" a="1"/>
  <c r="AF26" i="55" s="1"/>
  <c r="AF25" i="55" a="1"/>
  <c r="AF25" i="55" s="1"/>
  <c r="AF24" i="55" a="1"/>
  <c r="AF24" i="55" s="1"/>
  <c r="AG15" i="55"/>
  <c r="AG9" i="55"/>
  <c r="AG13" i="55"/>
  <c r="AG5" i="55"/>
  <c r="AG17" i="55"/>
  <c r="AG11" i="55"/>
  <c r="AG3" i="55"/>
  <c r="AG29" i="55" s="1" a="1"/>
  <c r="AG29" i="55" s="1"/>
  <c r="AG7" i="55"/>
  <c r="AE27" i="55"/>
  <c r="AE21" i="55" s="1" a="1"/>
  <c r="AE21" i="55" s="1"/>
  <c r="AI2" i="55"/>
  <c r="AH1" i="55"/>
  <c r="AH19" i="55" l="1"/>
  <c r="AH29" i="55" a="1"/>
  <c r="AH29" i="55" s="1"/>
  <c r="AG26" i="55" a="1"/>
  <c r="AG26" i="55" s="1"/>
  <c r="AG24" i="55" a="1"/>
  <c r="AG24" i="55" s="1"/>
  <c r="AG25" i="55" a="1"/>
  <c r="AG25" i="55" s="1"/>
  <c r="AH9" i="55"/>
  <c r="AH15" i="55"/>
  <c r="AH3" i="55"/>
  <c r="AH13" i="55"/>
  <c r="AH7" i="55"/>
  <c r="AH17" i="55"/>
  <c r="AH11" i="55"/>
  <c r="AH5" i="55"/>
  <c r="AF27" i="55"/>
  <c r="AF21" i="55" s="1" a="1"/>
  <c r="AF21" i="55" s="1"/>
  <c r="AJ2" i="55"/>
  <c r="AI1" i="55"/>
  <c r="AI19" i="55" l="1"/>
  <c r="AI29" i="55" a="1"/>
  <c r="AI29" i="55" s="1"/>
  <c r="AH26" i="55" a="1"/>
  <c r="AH26" i="55" s="1"/>
  <c r="AH25" i="55" a="1"/>
  <c r="AH25" i="55" s="1"/>
  <c r="AH24" i="55" a="1"/>
  <c r="AH24" i="55" s="1"/>
  <c r="AI15" i="55"/>
  <c r="AI7" i="55"/>
  <c r="AI13" i="55"/>
  <c r="AI5" i="55"/>
  <c r="AI9" i="55"/>
  <c r="AI3" i="55"/>
  <c r="AI17" i="55"/>
  <c r="AG27" i="55"/>
  <c r="AG21" i="55" s="1" a="1"/>
  <c r="AG21" i="55" s="1"/>
  <c r="AK2" i="55"/>
  <c r="AJ1" i="55"/>
  <c r="AI26" i="55" l="1" a="1"/>
  <c r="AI26" i="55" s="1"/>
  <c r="AI24" i="55" a="1"/>
  <c r="AI24" i="55" s="1"/>
  <c r="AI25" i="55" a="1"/>
  <c r="AI25" i="55" s="1"/>
  <c r="AJ7" i="55"/>
  <c r="AJ13" i="55"/>
  <c r="AJ17" i="55"/>
  <c r="AJ9" i="55"/>
  <c r="AJ11" i="55"/>
  <c r="AJ5" i="55"/>
  <c r="AJ3" i="55"/>
  <c r="AJ29" i="55" s="1" a="1"/>
  <c r="AJ29" i="55" s="1"/>
  <c r="AJ15" i="55"/>
  <c r="AL2" i="55"/>
  <c r="AK1" i="55"/>
  <c r="AH27" i="55"/>
  <c r="AH21" i="55" s="1" a="1"/>
  <c r="AH21" i="55" s="1"/>
  <c r="AK13" i="55" l="1"/>
  <c r="AJ26" i="55" a="1"/>
  <c r="AJ26" i="55" s="1"/>
  <c r="AJ24" i="55" a="1"/>
  <c r="AJ24" i="55" s="1"/>
  <c r="AJ25" i="55" a="1"/>
  <c r="AJ25" i="55" s="1"/>
  <c r="AK7" i="55"/>
  <c r="AK9" i="55"/>
  <c r="AK15" i="55"/>
  <c r="AK17" i="55"/>
  <c r="AK3" i="55"/>
  <c r="AK29" i="55" s="1" a="1"/>
  <c r="AK29" i="55" s="1"/>
  <c r="AL1" i="55"/>
  <c r="AM2" i="55"/>
  <c r="AM1" i="55" s="1"/>
  <c r="AI27" i="55"/>
  <c r="AI21" i="55" s="1" a="1"/>
  <c r="AI21" i="55" s="1"/>
  <c r="AL19" i="55" l="1"/>
  <c r="AP20" i="55"/>
  <c r="AP8" i="55"/>
  <c r="AK26" i="55" a="1"/>
  <c r="AK26" i="55" s="1"/>
  <c r="AK24" i="55" a="1"/>
  <c r="AK24" i="55" s="1"/>
  <c r="AK25" i="55" a="1"/>
  <c r="AK25" i="55" s="1"/>
  <c r="AM19" i="55"/>
  <c r="AM9" i="55"/>
  <c r="AP10" i="55" s="1"/>
  <c r="AM13" i="55"/>
  <c r="AM5" i="55"/>
  <c r="AM7" i="55"/>
  <c r="AP16" i="55"/>
  <c r="AM3" i="55"/>
  <c r="AM29" i="55" s="1" a="1"/>
  <c r="AM29" i="55" s="1"/>
  <c r="AM11" i="55"/>
  <c r="AL13" i="55"/>
  <c r="AL9" i="55"/>
  <c r="AL7" i="55"/>
  <c r="AL15" i="55"/>
  <c r="AL3" i="55"/>
  <c r="AL29" i="55" s="1" a="1"/>
  <c r="AL29" i="55" s="1"/>
  <c r="AL5" i="55"/>
  <c r="AP14" i="55"/>
  <c r="AP6" i="55"/>
  <c r="AP18" i="55"/>
  <c r="AP12" i="55"/>
  <c r="AJ27" i="55"/>
  <c r="AJ21" i="55" s="1" a="1"/>
  <c r="AJ21" i="55" s="1"/>
  <c r="AL26" i="55" l="1" a="1"/>
  <c r="AL26" i="55" s="1"/>
  <c r="AM26" i="55" a="1"/>
  <c r="AM26" i="55" s="1"/>
  <c r="AL25" i="55" a="1"/>
  <c r="AL25" i="55" s="1"/>
  <c r="AL24" i="55" a="1"/>
  <c r="AL24" i="55" s="1"/>
  <c r="AP4" i="55"/>
  <c r="AM25" i="55" a="1"/>
  <c r="AM25" i="55" s="1"/>
  <c r="AM24" i="55" a="1"/>
  <c r="AM24" i="55" s="1"/>
  <c r="AO7" i="55" a="1"/>
  <c r="AO7" i="55" s="1"/>
  <c r="AO19" i="55" a="1"/>
  <c r="AO19" i="55" s="1"/>
  <c r="I19" i="55" a="1"/>
  <c r="I19" i="55" s="1"/>
  <c r="H19" i="55"/>
  <c r="G19" i="55"/>
  <c r="I7" i="55" a="1"/>
  <c r="I7" i="55" s="1"/>
  <c r="G7" i="55"/>
  <c r="H7" i="55"/>
  <c r="AK27" i="55"/>
  <c r="AK21" i="55" s="1" a="1"/>
  <c r="AK21" i="55" s="1"/>
  <c r="H3" i="55"/>
  <c r="G3" i="55"/>
  <c r="I3" i="55" a="1"/>
  <c r="I3" i="55" s="1"/>
  <c r="AO3" i="55" a="1"/>
  <c r="AO3" i="55" s="1"/>
  <c r="H15" i="55"/>
  <c r="I15" i="55" a="1"/>
  <c r="I15" i="55" s="1"/>
  <c r="AO15" i="55" a="1"/>
  <c r="AO15" i="55" s="1"/>
  <c r="G15" i="55"/>
  <c r="I5" i="55" a="1"/>
  <c r="I5" i="55" s="1"/>
  <c r="G5" i="55"/>
  <c r="H5" i="55"/>
  <c r="AO5" i="55" a="1"/>
  <c r="AO5" i="55" s="1"/>
  <c r="I11" i="55" a="1"/>
  <c r="I11" i="55" s="1"/>
  <c r="H11" i="55"/>
  <c r="AO11" i="55" a="1"/>
  <c r="AO11" i="55" s="1"/>
  <c r="G11" i="55"/>
  <c r="H9" i="55"/>
  <c r="I9" i="55" a="1"/>
  <c r="I9" i="55" s="1"/>
  <c r="AO9" i="55" a="1"/>
  <c r="AO9" i="55" s="1"/>
  <c r="G9" i="55"/>
  <c r="G13" i="55"/>
  <c r="H13" i="55"/>
  <c r="AO13" i="55" a="1"/>
  <c r="AO13" i="55" s="1"/>
  <c r="I13" i="55" a="1"/>
  <c r="I13" i="55" s="1"/>
  <c r="H17" i="55"/>
  <c r="I17" i="55" a="1"/>
  <c r="I17" i="55" s="1"/>
  <c r="AO17" i="55" a="1"/>
  <c r="AO17" i="55" s="1"/>
  <c r="G17" i="55"/>
  <c r="AM27" i="55" l="1"/>
  <c r="AM21" i="55" s="1" a="1"/>
  <c r="AM21" i="55" s="1"/>
  <c r="AL27" i="55"/>
  <c r="AL21" i="55" s="1" a="1"/>
  <c r="AL21" i="55" s="1"/>
  <c r="AP21" i="55" l="1"/>
  <c r="B10" i="47" l="1"/>
  <c r="B9" i="47" s="1"/>
  <c r="B12" i="47"/>
  <c r="B11" i="47" s="1"/>
  <c r="B14" i="47"/>
  <c r="B13" i="47" s="1"/>
  <c r="B16" i="47"/>
  <c r="B15" i="47" s="1"/>
  <c r="B18" i="47"/>
  <c r="B17" i="47" s="1"/>
  <c r="B19" i="47"/>
  <c r="B20" i="47"/>
  <c r="C20" i="47" s="1"/>
  <c r="C19" i="47" s="1"/>
  <c r="B21" i="47"/>
  <c r="C21" i="47"/>
  <c r="D21" i="47"/>
  <c r="B22" i="47"/>
  <c r="C22" i="47" s="1"/>
  <c r="D22" i="47" s="1"/>
  <c r="E22" i="47" s="1"/>
  <c r="B24" i="47"/>
  <c r="C24" i="47" s="1"/>
  <c r="B26" i="47"/>
  <c r="B25" i="47" s="1"/>
  <c r="B4" i="47"/>
  <c r="B6" i="47"/>
  <c r="B5" i="47" s="1"/>
  <c r="B8" i="47"/>
  <c r="C8" i="47" s="1"/>
  <c r="D8" i="47" s="1"/>
  <c r="E8" i="47" s="1"/>
  <c r="B7" i="47" l="1"/>
  <c r="C16" i="47"/>
  <c r="C6" i="47"/>
  <c r="D7" i="47"/>
  <c r="C7" i="47"/>
  <c r="C10" i="47"/>
  <c r="D10" i="47" s="1"/>
  <c r="D24" i="47"/>
  <c r="C23" i="47"/>
  <c r="C14" i="47"/>
  <c r="E21" i="47"/>
  <c r="F22" i="47"/>
  <c r="C26" i="47"/>
  <c r="B23" i="47"/>
  <c r="D20" i="47"/>
  <c r="C12" i="47"/>
  <c r="C18" i="47"/>
  <c r="E7" i="47"/>
  <c r="F8" i="47"/>
  <c r="B3" i="47"/>
  <c r="C4" i="47"/>
  <c r="C9" i="47" l="1"/>
  <c r="D6" i="47"/>
  <c r="C5" i="47"/>
  <c r="D16" i="47"/>
  <c r="C15" i="47"/>
  <c r="C17" i="47"/>
  <c r="D18" i="47"/>
  <c r="E20" i="47"/>
  <c r="D19" i="47"/>
  <c r="E10" i="47"/>
  <c r="D9" i="47"/>
  <c r="G22" i="47"/>
  <c r="F21" i="47"/>
  <c r="C11" i="47"/>
  <c r="D12" i="47"/>
  <c r="C25" i="47"/>
  <c r="D26" i="47"/>
  <c r="C13" i="47"/>
  <c r="D14" i="47"/>
  <c r="E24" i="47"/>
  <c r="D23" i="47"/>
  <c r="D4" i="47"/>
  <c r="C3" i="47"/>
  <c r="F7" i="47"/>
  <c r="G8" i="47"/>
  <c r="D5" i="47" l="1"/>
  <c r="E6" i="47"/>
  <c r="E16" i="47"/>
  <c r="D15" i="47"/>
  <c r="D13" i="47"/>
  <c r="E14" i="47"/>
  <c r="D11" i="47"/>
  <c r="E12" i="47"/>
  <c r="G21" i="47"/>
  <c r="H22" i="47"/>
  <c r="E9" i="47"/>
  <c r="F10" i="47"/>
  <c r="D17" i="47"/>
  <c r="E18" i="47"/>
  <c r="D25" i="47"/>
  <c r="E26" i="47"/>
  <c r="F20" i="47"/>
  <c r="E19" i="47"/>
  <c r="F24" i="47"/>
  <c r="E23" i="47"/>
  <c r="D3" i="47"/>
  <c r="E4" i="47"/>
  <c r="G7" i="47"/>
  <c r="H8" i="47"/>
  <c r="F16" i="47" l="1"/>
  <c r="E15" i="47"/>
  <c r="E5" i="47"/>
  <c r="F6" i="47"/>
  <c r="G20" i="47"/>
  <c r="F19" i="47"/>
  <c r="E25" i="47"/>
  <c r="F26" i="47"/>
  <c r="E17" i="47"/>
  <c r="F18" i="47"/>
  <c r="E11" i="47"/>
  <c r="F12" i="47"/>
  <c r="E13" i="47"/>
  <c r="F14" i="47"/>
  <c r="G10" i="47"/>
  <c r="F9" i="47"/>
  <c r="H21" i="47"/>
  <c r="I22" i="47"/>
  <c r="G24" i="47"/>
  <c r="F23" i="47"/>
  <c r="E3" i="47"/>
  <c r="F4" i="47"/>
  <c r="H7" i="47"/>
  <c r="I8" i="47"/>
  <c r="F5" i="47" l="1"/>
  <c r="G6" i="47"/>
  <c r="G16" i="47"/>
  <c r="F15" i="47"/>
  <c r="I21" i="47"/>
  <c r="J22" i="47"/>
  <c r="H10" i="47"/>
  <c r="G9" i="47"/>
  <c r="F11" i="47"/>
  <c r="G12" i="47"/>
  <c r="G26" i="47"/>
  <c r="F25" i="47"/>
  <c r="F13" i="47"/>
  <c r="G14" i="47"/>
  <c r="F17" i="47"/>
  <c r="G18" i="47"/>
  <c r="G23" i="47"/>
  <c r="H24" i="47"/>
  <c r="G19" i="47"/>
  <c r="H20" i="47"/>
  <c r="F3" i="47"/>
  <c r="G4" i="47"/>
  <c r="I7" i="47"/>
  <c r="J8" i="47"/>
  <c r="G15" i="47" l="1"/>
  <c r="H16" i="47"/>
  <c r="H6" i="47"/>
  <c r="G5" i="47"/>
  <c r="H18" i="47"/>
  <c r="G17" i="47"/>
  <c r="H26" i="47"/>
  <c r="G25" i="47"/>
  <c r="G11" i="47"/>
  <c r="H12" i="47"/>
  <c r="I10" i="47"/>
  <c r="H9" i="47"/>
  <c r="H19" i="47"/>
  <c r="I20" i="47"/>
  <c r="K22" i="47"/>
  <c r="J21" i="47"/>
  <c r="I24" i="47"/>
  <c r="H23" i="47"/>
  <c r="G13" i="47"/>
  <c r="H14" i="47"/>
  <c r="J7" i="47"/>
  <c r="K8" i="47"/>
  <c r="G3" i="47"/>
  <c r="H4" i="47"/>
  <c r="I6" i="47" l="1"/>
  <c r="H5" i="47"/>
  <c r="I16" i="47"/>
  <c r="H15" i="47"/>
  <c r="H13" i="47"/>
  <c r="I14" i="47"/>
  <c r="I23" i="47"/>
  <c r="J24" i="47"/>
  <c r="L22" i="47"/>
  <c r="K21" i="47"/>
  <c r="I19" i="47"/>
  <c r="J20" i="47"/>
  <c r="J10" i="47"/>
  <c r="I9" i="47"/>
  <c r="H11" i="47"/>
  <c r="I12" i="47"/>
  <c r="I26" i="47"/>
  <c r="H25" i="47"/>
  <c r="H17" i="47"/>
  <c r="I18" i="47"/>
  <c r="K7" i="47"/>
  <c r="L8" i="47"/>
  <c r="H3" i="47"/>
  <c r="I4" i="47"/>
  <c r="I15" i="47" l="1"/>
  <c r="J16" i="47"/>
  <c r="J6" i="47"/>
  <c r="I5" i="47"/>
  <c r="J26" i="47"/>
  <c r="I25" i="47"/>
  <c r="J19" i="47"/>
  <c r="K20" i="47"/>
  <c r="I17" i="47"/>
  <c r="J18" i="47"/>
  <c r="J14" i="47"/>
  <c r="I13" i="47"/>
  <c r="I11" i="47"/>
  <c r="J12" i="47"/>
  <c r="J9" i="47"/>
  <c r="K10" i="47"/>
  <c r="L21" i="47"/>
  <c r="M22" i="47"/>
  <c r="K24" i="47"/>
  <c r="J23" i="47"/>
  <c r="I3" i="47"/>
  <c r="J4" i="47"/>
  <c r="L7" i="47"/>
  <c r="M8" i="47"/>
  <c r="K6" i="47" l="1"/>
  <c r="J5" i="47"/>
  <c r="K16" i="47"/>
  <c r="J15" i="47"/>
  <c r="M21" i="47"/>
  <c r="N22" i="47"/>
  <c r="J11" i="47"/>
  <c r="K12" i="47"/>
  <c r="K19" i="47"/>
  <c r="L20" i="47"/>
  <c r="K9" i="47"/>
  <c r="L10" i="47"/>
  <c r="K14" i="47"/>
  <c r="J13" i="47"/>
  <c r="K18" i="47"/>
  <c r="J17" i="47"/>
  <c r="L24" i="47"/>
  <c r="K23" i="47"/>
  <c r="K26" i="47"/>
  <c r="J25" i="47"/>
  <c r="M7" i="47"/>
  <c r="N8" i="47"/>
  <c r="K4" i="47"/>
  <c r="J3" i="47"/>
  <c r="L16" i="47" l="1"/>
  <c r="K15" i="47"/>
  <c r="L6" i="47"/>
  <c r="K5" i="47"/>
  <c r="M24" i="47"/>
  <c r="L23" i="47"/>
  <c r="K13" i="47"/>
  <c r="L14" i="47"/>
  <c r="L19" i="47"/>
  <c r="M20" i="47"/>
  <c r="K11" i="47"/>
  <c r="L12" i="47"/>
  <c r="N21" i="47"/>
  <c r="O22" i="47"/>
  <c r="L18" i="47"/>
  <c r="K17" i="47"/>
  <c r="M10" i="47"/>
  <c r="L9" i="47"/>
  <c r="K25" i="47"/>
  <c r="L26" i="47"/>
  <c r="N7" i="47"/>
  <c r="O8" i="47"/>
  <c r="L4" i="47"/>
  <c r="K3" i="47"/>
  <c r="L5" i="47" l="1"/>
  <c r="M6" i="47"/>
  <c r="L15" i="47"/>
  <c r="M16" i="47"/>
  <c r="M9" i="47"/>
  <c r="N10" i="47"/>
  <c r="L11" i="47"/>
  <c r="M12" i="47"/>
  <c r="M19" i="47"/>
  <c r="N20" i="47"/>
  <c r="O20" i="47" s="1"/>
  <c r="O19" i="47" s="1"/>
  <c r="M14" i="47"/>
  <c r="L13" i="47"/>
  <c r="M26" i="47"/>
  <c r="L25" i="47"/>
  <c r="M18" i="47"/>
  <c r="L17" i="47"/>
  <c r="O21" i="47"/>
  <c r="P22" i="47"/>
  <c r="N24" i="47"/>
  <c r="M23" i="47"/>
  <c r="O7" i="47"/>
  <c r="P8" i="47"/>
  <c r="L3" i="47"/>
  <c r="M4" i="47"/>
  <c r="N6" i="47" l="1"/>
  <c r="M5" i="47"/>
  <c r="N16" i="47"/>
  <c r="M15" i="47"/>
  <c r="M25" i="47"/>
  <c r="N26" i="47"/>
  <c r="M11" i="47"/>
  <c r="N12" i="47"/>
  <c r="N9" i="47"/>
  <c r="O10" i="47"/>
  <c r="P21" i="47"/>
  <c r="Q22" i="47"/>
  <c r="N18" i="47"/>
  <c r="M17" i="47"/>
  <c r="N14" i="47"/>
  <c r="M13" i="47"/>
  <c r="N19" i="47"/>
  <c r="N23" i="47"/>
  <c r="O24" i="47"/>
  <c r="P7" i="47"/>
  <c r="Q8" i="47"/>
  <c r="M3" i="47"/>
  <c r="N4" i="47"/>
  <c r="N15" i="47" l="1"/>
  <c r="O16" i="47"/>
  <c r="N5" i="47"/>
  <c r="O6" i="47"/>
  <c r="P20" i="47"/>
  <c r="O14" i="47"/>
  <c r="N13" i="47"/>
  <c r="N17" i="47"/>
  <c r="O18" i="47"/>
  <c r="Q21" i="47"/>
  <c r="R22" i="47"/>
  <c r="N11" i="47"/>
  <c r="O12" i="47"/>
  <c r="O23" i="47"/>
  <c r="P24" i="47"/>
  <c r="O9" i="47"/>
  <c r="P10" i="47"/>
  <c r="N25" i="47"/>
  <c r="O26" i="47"/>
  <c r="Q7" i="47"/>
  <c r="R8" i="47"/>
  <c r="N3" i="47"/>
  <c r="O4" i="47"/>
  <c r="O15" i="47" l="1"/>
  <c r="P16" i="47"/>
  <c r="O5" i="47"/>
  <c r="P6" i="47"/>
  <c r="O11" i="47"/>
  <c r="P12" i="47"/>
  <c r="O17" i="47"/>
  <c r="P18" i="47"/>
  <c r="P14" i="47"/>
  <c r="O13" i="47"/>
  <c r="O25" i="47"/>
  <c r="P26" i="47"/>
  <c r="P19" i="47"/>
  <c r="Q20" i="47"/>
  <c r="Q10" i="47"/>
  <c r="P9" i="47"/>
  <c r="P23" i="47"/>
  <c r="Q24" i="47"/>
  <c r="R21" i="47"/>
  <c r="S22" i="47"/>
  <c r="O3" i="47"/>
  <c r="P4" i="47"/>
  <c r="R7" i="47"/>
  <c r="S8" i="47"/>
  <c r="Q10" i="26"/>
  <c r="T10" i="26" s="1"/>
  <c r="D10" i="26"/>
  <c r="P5" i="47" l="1"/>
  <c r="Q6" i="47"/>
  <c r="P15" i="47"/>
  <c r="Q16" i="47"/>
  <c r="Q23" i="47"/>
  <c r="R24" i="47"/>
  <c r="Q26" i="47"/>
  <c r="P25" i="47"/>
  <c r="Q14" i="47"/>
  <c r="P13" i="47"/>
  <c r="Q18" i="47"/>
  <c r="P17" i="47"/>
  <c r="P11" i="47"/>
  <c r="Q12" i="47"/>
  <c r="S21" i="47"/>
  <c r="T22" i="47"/>
  <c r="Q9" i="47"/>
  <c r="R10" i="47"/>
  <c r="Q19" i="47"/>
  <c r="R20" i="47"/>
  <c r="P3" i="47"/>
  <c r="Q4" i="47"/>
  <c r="S7" i="47"/>
  <c r="T8" i="47"/>
  <c r="S10" i="26"/>
  <c r="R10" i="26"/>
  <c r="Q15" i="47" l="1"/>
  <c r="R16" i="47"/>
  <c r="Q5" i="47"/>
  <c r="R6" i="47"/>
  <c r="R12" i="47"/>
  <c r="Q11" i="47"/>
  <c r="Q17" i="47"/>
  <c r="R18" i="47"/>
  <c r="Q25" i="47"/>
  <c r="R26" i="47"/>
  <c r="S20" i="47"/>
  <c r="R19" i="47"/>
  <c r="R23" i="47"/>
  <c r="S24" i="47"/>
  <c r="R9" i="47"/>
  <c r="S10" i="47"/>
  <c r="U22" i="47"/>
  <c r="T21" i="47"/>
  <c r="R14" i="47"/>
  <c r="Q13" i="47"/>
  <c r="Q3" i="47"/>
  <c r="R4" i="47"/>
  <c r="U8" i="47"/>
  <c r="T7" i="47"/>
  <c r="R5" i="47" l="1"/>
  <c r="S6" i="47"/>
  <c r="R15" i="47"/>
  <c r="S16" i="47"/>
  <c r="T10" i="47"/>
  <c r="S9" i="47"/>
  <c r="R17" i="47"/>
  <c r="S18" i="47"/>
  <c r="U21" i="47"/>
  <c r="V22" i="47"/>
  <c r="S23" i="47"/>
  <c r="T24" i="47"/>
  <c r="S19" i="47"/>
  <c r="T20" i="47"/>
  <c r="R25" i="47"/>
  <c r="S26" i="47"/>
  <c r="R13" i="47"/>
  <c r="S14" i="47"/>
  <c r="R11" i="47"/>
  <c r="S12" i="47"/>
  <c r="R3" i="47"/>
  <c r="S4" i="47"/>
  <c r="V8" i="47"/>
  <c r="U7" i="47"/>
  <c r="S15" i="47" l="1"/>
  <c r="T16" i="47"/>
  <c r="S5" i="47"/>
  <c r="T6" i="47"/>
  <c r="S13" i="47"/>
  <c r="T14" i="47"/>
  <c r="U20" i="47"/>
  <c r="T19" i="47"/>
  <c r="S17" i="47"/>
  <c r="T18" i="47"/>
  <c r="T12" i="47"/>
  <c r="S11" i="47"/>
  <c r="S25" i="47"/>
  <c r="T26" i="47"/>
  <c r="T23" i="47"/>
  <c r="U24" i="47"/>
  <c r="W22" i="47"/>
  <c r="V21" i="47"/>
  <c r="U10" i="47"/>
  <c r="T9" i="47"/>
  <c r="W8" i="47"/>
  <c r="V7" i="47"/>
  <c r="S3" i="47"/>
  <c r="T4" i="47"/>
  <c r="T5" i="47" l="1"/>
  <c r="U6" i="47"/>
  <c r="T15" i="47"/>
  <c r="U16" i="47"/>
  <c r="U23" i="47"/>
  <c r="V24" i="47"/>
  <c r="T13" i="47"/>
  <c r="U14" i="47"/>
  <c r="W21" i="47"/>
  <c r="X22" i="47"/>
  <c r="T25" i="47"/>
  <c r="U26" i="47"/>
  <c r="U12" i="47"/>
  <c r="T11" i="47"/>
  <c r="T17" i="47"/>
  <c r="U18" i="47"/>
  <c r="V20" i="47"/>
  <c r="U19" i="47"/>
  <c r="U9" i="47"/>
  <c r="V10" i="47"/>
  <c r="T3" i="47"/>
  <c r="U4" i="47"/>
  <c r="X8" i="47"/>
  <c r="W7" i="47"/>
  <c r="V16" i="47" l="1"/>
  <c r="U15" i="47"/>
  <c r="U5" i="47"/>
  <c r="V6" i="47"/>
  <c r="X21" i="47"/>
  <c r="Y22" i="47"/>
  <c r="W24" i="47"/>
  <c r="V23" i="47"/>
  <c r="W20" i="47"/>
  <c r="V19" i="47"/>
  <c r="U17" i="47"/>
  <c r="V18" i="47"/>
  <c r="V12" i="47"/>
  <c r="U11" i="47"/>
  <c r="U25" i="47"/>
  <c r="V26" i="47"/>
  <c r="U13" i="47"/>
  <c r="V14" i="47"/>
  <c r="W10" i="47"/>
  <c r="V9" i="47"/>
  <c r="Y8" i="47"/>
  <c r="X7" i="47"/>
  <c r="U3" i="47"/>
  <c r="V4" i="47"/>
  <c r="V5" i="47" l="1"/>
  <c r="W6" i="47"/>
  <c r="W16" i="47"/>
  <c r="V15" i="47"/>
  <c r="V25" i="47"/>
  <c r="W26" i="47"/>
  <c r="X20" i="47"/>
  <c r="W19" i="47"/>
  <c r="Y21" i="47"/>
  <c r="Z22" i="47"/>
  <c r="X10" i="47"/>
  <c r="W9" i="47"/>
  <c r="V13" i="47"/>
  <c r="W14" i="47"/>
  <c r="V11" i="47"/>
  <c r="W12" i="47"/>
  <c r="W18" i="47"/>
  <c r="V17" i="47"/>
  <c r="W23" i="47"/>
  <c r="X24" i="47"/>
  <c r="V3" i="47"/>
  <c r="W4" i="47"/>
  <c r="Z8" i="47"/>
  <c r="Y7" i="47"/>
  <c r="W15" i="47" l="1"/>
  <c r="X16" i="47"/>
  <c r="X6" i="47"/>
  <c r="W5" i="47"/>
  <c r="W17" i="47"/>
  <c r="X18" i="47"/>
  <c r="W11" i="47"/>
  <c r="X12" i="47"/>
  <c r="Y10" i="47"/>
  <c r="X9" i="47"/>
  <c r="AA22" i="47"/>
  <c r="Z21" i="47"/>
  <c r="W25" i="47"/>
  <c r="X26" i="47"/>
  <c r="Y24" i="47"/>
  <c r="X23" i="47"/>
  <c r="W13" i="47"/>
  <c r="X14" i="47"/>
  <c r="Y20" i="47"/>
  <c r="X19" i="47"/>
  <c r="Z7" i="47"/>
  <c r="AA8" i="47"/>
  <c r="X4" i="47"/>
  <c r="W3" i="47"/>
  <c r="X5" i="47" l="1"/>
  <c r="Y6" i="47"/>
  <c r="Y16" i="47"/>
  <c r="X15" i="47"/>
  <c r="Z20" i="47"/>
  <c r="Y19" i="47"/>
  <c r="Y23" i="47"/>
  <c r="Z24" i="47"/>
  <c r="X25" i="47"/>
  <c r="Y26" i="47"/>
  <c r="AB22" i="47"/>
  <c r="AA21" i="47"/>
  <c r="X17" i="47"/>
  <c r="Y18" i="47"/>
  <c r="X13" i="47"/>
  <c r="Y14" i="47"/>
  <c r="Z10" i="47"/>
  <c r="Y9" i="47"/>
  <c r="Y12" i="47"/>
  <c r="X11" i="47"/>
  <c r="Y4" i="47"/>
  <c r="X3" i="47"/>
  <c r="AA7" i="47"/>
  <c r="AB8" i="47"/>
  <c r="Z16" i="47" l="1"/>
  <c r="Y15" i="47"/>
  <c r="Z6" i="47"/>
  <c r="Y5" i="47"/>
  <c r="Y17" i="47"/>
  <c r="Z18" i="47"/>
  <c r="AA24" i="47"/>
  <c r="Z23" i="47"/>
  <c r="Z9" i="47"/>
  <c r="AA10" i="47"/>
  <c r="Z14" i="47"/>
  <c r="Y13" i="47"/>
  <c r="AC22" i="47"/>
  <c r="AB21" i="47"/>
  <c r="Y25" i="47"/>
  <c r="Z26" i="47"/>
  <c r="Y11" i="47"/>
  <c r="Z12" i="47"/>
  <c r="AA20" i="47"/>
  <c r="Z19" i="47"/>
  <c r="AB7" i="47"/>
  <c r="AC8" i="47"/>
  <c r="Z4" i="47"/>
  <c r="Y3" i="47"/>
  <c r="AA6" i="47" l="1"/>
  <c r="Z5" i="47"/>
  <c r="Z15" i="47"/>
  <c r="AA16" i="47"/>
  <c r="Z11" i="47"/>
  <c r="AA12" i="47"/>
  <c r="AA26" i="47"/>
  <c r="Z25" i="47"/>
  <c r="Z17" i="47"/>
  <c r="AA18" i="47"/>
  <c r="AD22" i="47"/>
  <c r="AC21" i="47"/>
  <c r="AA14" i="47"/>
  <c r="Z13" i="47"/>
  <c r="AA9" i="47"/>
  <c r="AB10" i="47"/>
  <c r="AB24" i="47"/>
  <c r="AA23" i="47"/>
  <c r="AB20" i="47"/>
  <c r="AA19" i="47"/>
  <c r="AC7" i="47"/>
  <c r="AD8" i="47"/>
  <c r="AA4" i="47"/>
  <c r="Z3" i="47"/>
  <c r="AB16" i="47" l="1"/>
  <c r="AA15" i="47"/>
  <c r="AB6" i="47"/>
  <c r="AA5" i="47"/>
  <c r="AE22" i="47"/>
  <c r="AD21" i="47"/>
  <c r="AA17" i="47"/>
  <c r="AB18" i="47"/>
  <c r="AA11" i="47"/>
  <c r="AB12" i="47"/>
  <c r="AC24" i="47"/>
  <c r="AB23" i="47"/>
  <c r="AB9" i="47"/>
  <c r="AC10" i="47"/>
  <c r="AA13" i="47"/>
  <c r="AB14" i="47"/>
  <c r="AA25" i="47"/>
  <c r="AB26" i="47"/>
  <c r="AB19" i="47"/>
  <c r="AC20" i="47"/>
  <c r="AD7" i="47"/>
  <c r="AE8" i="47"/>
  <c r="AB4" i="47"/>
  <c r="AA3" i="47"/>
  <c r="Q3" i="26"/>
  <c r="D3" i="26"/>
  <c r="AB5" i="47" l="1"/>
  <c r="AC6" i="47"/>
  <c r="AC5" i="47" s="1"/>
  <c r="AB15" i="47"/>
  <c r="AC16" i="47"/>
  <c r="AB11" i="47"/>
  <c r="AC12" i="47"/>
  <c r="AC19" i="47"/>
  <c r="AD20" i="47"/>
  <c r="AC26" i="47"/>
  <c r="AB25" i="47"/>
  <c r="AC14" i="47"/>
  <c r="AB13" i="47"/>
  <c r="AC9" i="47"/>
  <c r="AD10" i="47"/>
  <c r="AD24" i="47"/>
  <c r="AC23" i="47"/>
  <c r="AB17" i="47"/>
  <c r="AC18" i="47"/>
  <c r="AF22" i="47"/>
  <c r="AF21" i="47" s="1"/>
  <c r="AE21" i="47"/>
  <c r="AE7" i="47"/>
  <c r="AF8" i="47"/>
  <c r="AF7" i="47" s="1"/>
  <c r="AC4" i="47"/>
  <c r="AB3" i="47"/>
  <c r="T3" i="26"/>
  <c r="R3" i="26" s="1"/>
  <c r="AC15" i="47" l="1"/>
  <c r="AD16" i="47"/>
  <c r="AD9" i="47"/>
  <c r="AE10" i="47"/>
  <c r="AE9" i="47" s="1"/>
  <c r="AD12" i="47"/>
  <c r="AC11" i="47"/>
  <c r="AC17" i="47"/>
  <c r="AD18" i="47"/>
  <c r="AE24" i="47"/>
  <c r="AE23" i="47" s="1"/>
  <c r="AD23" i="47"/>
  <c r="AD14" i="47"/>
  <c r="AC13" i="47"/>
  <c r="AC25" i="47"/>
  <c r="AD26" i="47"/>
  <c r="AD19" i="47"/>
  <c r="AE20" i="47"/>
  <c r="AE19" i="47" s="1"/>
  <c r="AC3" i="47"/>
  <c r="AD4" i="47"/>
  <c r="S3" i="26"/>
  <c r="AE16" i="47" l="1"/>
  <c r="AD15" i="47"/>
  <c r="AD25" i="47"/>
  <c r="AE26" i="47"/>
  <c r="AE14" i="47"/>
  <c r="AE13" i="47" s="1"/>
  <c r="AD13" i="47"/>
  <c r="AD17" i="47"/>
  <c r="AE18" i="47"/>
  <c r="AD11" i="47"/>
  <c r="AE12" i="47"/>
  <c r="AD3" i="47"/>
  <c r="AE4" i="47"/>
  <c r="AE15" i="47" l="1"/>
  <c r="AF16" i="47"/>
  <c r="AF15" i="47" s="1"/>
  <c r="AE17" i="47"/>
  <c r="AF18" i="47"/>
  <c r="AF17" i="47" s="1"/>
  <c r="AE25" i="47"/>
  <c r="AF26" i="47"/>
  <c r="AF25" i="47" s="1"/>
  <c r="AE11" i="47"/>
  <c r="AF12" i="47"/>
  <c r="AF11" i="47" s="1"/>
  <c r="AE3" i="47"/>
  <c r="AF4" i="47"/>
  <c r="AF3" i="47" s="1"/>
  <c r="Q8" i="26" l="1"/>
  <c r="Q6" i="26"/>
  <c r="D8" i="26"/>
  <c r="D2" i="26"/>
  <c r="D4" i="26"/>
  <c r="D5" i="26"/>
  <c r="D7" i="26"/>
  <c r="D9" i="26"/>
  <c r="D6" i="26"/>
  <c r="T6" i="26" l="1"/>
  <c r="S6" i="26" s="1"/>
  <c r="T8" i="26"/>
  <c r="S8" i="26" s="1"/>
  <c r="R6" i="26" l="1"/>
  <c r="R8" i="26"/>
  <c r="Q9" i="26" l="1"/>
  <c r="T9" i="26" s="1"/>
  <c r="Q2" i="26"/>
  <c r="T2" i="26" s="1"/>
  <c r="Q4" i="26"/>
  <c r="T4" i="26" s="1"/>
  <c r="Q5" i="26"/>
  <c r="T5" i="26" s="1"/>
  <c r="R5" i="26" s="1"/>
  <c r="Q7" i="26"/>
  <c r="T7" i="26" s="1"/>
  <c r="S2" i="26" l="1"/>
  <c r="R2" i="26"/>
  <c r="S7" i="26"/>
  <c r="R7" i="26"/>
  <c r="R4" i="26"/>
  <c r="S4" i="26"/>
  <c r="R9" i="26"/>
  <c r="S9" i="26"/>
  <c r="S5" i="2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<sst xmlns="http://schemas.openxmlformats.org/spreadsheetml/2006/main" count="324" uniqueCount="137">
  <si>
    <t>June</t>
    <phoneticPr fontId="8" type="noConversion"/>
  </si>
  <si>
    <t>休假</t>
  </si>
  <si>
    <t>用餐</t>
    <phoneticPr fontId="8" type="noConversion"/>
  </si>
  <si>
    <t>工作日</t>
  </si>
  <si>
    <t>OFF</t>
  </si>
  <si>
    <t>PTO</t>
  </si>
  <si>
    <t>PTO-AL</t>
    <phoneticPr fontId="8" type="noConversion"/>
  </si>
  <si>
    <t>LOA</t>
    <phoneticPr fontId="8" type="noConversion"/>
  </si>
  <si>
    <t>無連六</t>
    <phoneticPr fontId="8" type="noConversion"/>
  </si>
  <si>
    <t>例假日</t>
    <phoneticPr fontId="8" type="noConversion"/>
  </si>
  <si>
    <t>信義</t>
    <phoneticPr fontId="8" type="noConversion"/>
  </si>
  <si>
    <t>Amber Wang</t>
  </si>
  <si>
    <t>08:00-17:00</t>
    <phoneticPr fontId="8" type="noConversion"/>
  </si>
  <si>
    <t>三四</t>
  </si>
  <si>
    <t>12:00
11:00</t>
    <phoneticPr fontId="8" type="noConversion"/>
  </si>
  <si>
    <t>OFF</t>
    <phoneticPr fontId="8" type="noConversion"/>
  </si>
  <si>
    <t>08:00</t>
    <phoneticPr fontId="8" type="noConversion"/>
  </si>
  <si>
    <t>PTO</t>
    <phoneticPr fontId="8" type="noConversion"/>
  </si>
  <si>
    <t>Thu</t>
  </si>
  <si>
    <t>OT</t>
  </si>
  <si>
    <t>E</t>
    <phoneticPr fontId="8" type="noConversion"/>
  </si>
  <si>
    <t>A</t>
    <phoneticPr fontId="8" type="noConversion"/>
  </si>
  <si>
    <t>Jacky Lee</t>
  </si>
  <si>
    <t>五六</t>
  </si>
  <si>
    <t>Sat</t>
  </si>
  <si>
    <t>D</t>
    <phoneticPr fontId="8" type="noConversion"/>
  </si>
  <si>
    <t>B</t>
    <phoneticPr fontId="8" type="noConversion"/>
  </si>
  <si>
    <t>Evan Liu</t>
  </si>
  <si>
    <t>11:00-20:00</t>
    <phoneticPr fontId="8" type="noConversion"/>
  </si>
  <si>
    <t>Jian Kai Ding</t>
  </si>
  <si>
    <t>11:00</t>
    <phoneticPr fontId="8" type="noConversion"/>
  </si>
  <si>
    <t>Howard Chen</t>
  </si>
  <si>
    <t>15:00 - 00:00</t>
  </si>
  <si>
    <t>日一</t>
    <phoneticPr fontId="8" type="noConversion"/>
  </si>
  <si>
    <t>18:00
19:00
18:30</t>
    <phoneticPr fontId="8" type="noConversion"/>
  </si>
  <si>
    <t>Mon</t>
  </si>
  <si>
    <t>Alex Chen</t>
  </si>
  <si>
    <t>15:00</t>
    <phoneticPr fontId="8" type="noConversion"/>
  </si>
  <si>
    <t>Rex Liao</t>
  </si>
  <si>
    <t>五六</t>
    <phoneticPr fontId="8" type="noConversion"/>
  </si>
  <si>
    <t xml:space="preserve">建議可落入PTO數量   </t>
  </si>
  <si>
    <t>可休天數</t>
    <phoneticPr fontId="8" type="noConversion"/>
  </si>
  <si>
    <t>Sherry Lin</t>
  </si>
  <si>
    <t>PTO-Half</t>
    <phoneticPr fontId="8" type="noConversion"/>
  </si>
  <si>
    <t>Molly Song</t>
  </si>
  <si>
    <t>SUM</t>
    <phoneticPr fontId="8" type="noConversion"/>
  </si>
  <si>
    <t xml:space="preserve">English Name </t>
  </si>
  <si>
    <t>TTL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</si>
  <si>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</si>
  <si>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</si>
  <si>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</si>
  <si>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</si>
  <si>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</si>
  <si>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</si>
  <si>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</si>
  <si>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</si>
  <si>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</si>
  <si>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</si>
  <si>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</si>
  <si>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</si>
  <si>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已休</t>
    <phoneticPr fontId="8" type="noConversion"/>
  </si>
  <si>
    <t>未休</t>
    <phoneticPr fontId="1" type="noConversion"/>
  </si>
  <si>
    <t>法定特休天數</t>
    <phoneticPr fontId="8" type="noConversion"/>
  </si>
  <si>
    <t>亞勝假期</t>
    <phoneticPr fontId="8" type="noConversion"/>
  </si>
  <si>
    <t>*若對於個人的特休天數有疑問，請填寫「各部門問題/建議回報表」諮詢HR。</t>
    <phoneticPr fontId="8" type="noConversion"/>
  </si>
  <si>
    <r>
      <t>【長假申請彙整說明】
1.若同仁已於「班表相關申請表單」填寫長假申請表，該日期將以黃色標示。
2.因應營運需求及人力安排，每日長假申請人數以一人為限，並依申請表單之填寫時間先後為準。</t>
    </r>
    <r>
      <rPr>
        <b/>
        <sz val="16"/>
        <color theme="1"/>
        <rFont val="Noto Sans TC Medium"/>
        <family val="2"/>
      </rPr>
      <t xml:space="preserve">
3.</t>
    </r>
    <r>
      <rPr>
        <b/>
        <sz val="16"/>
        <color theme="1"/>
        <rFont val="Noto Sans TC Medium"/>
        <family val="2"/>
        <charset val="136"/>
      </rPr>
      <t>彙整表預計每兩週更新一次，請同仁於提出長假申請前，務必先行查閱本表單內容。
4.若同仁已於「班表相關申請表單」填寫公假申請表，該日期將以藍色標示。</t>
    </r>
    <phoneticPr fontId="8" type="noConversion"/>
  </si>
  <si>
    <r>
      <rPr>
        <sz val="14"/>
        <color theme="1"/>
        <rFont val="Microsoft JhengHei"/>
        <family val="2"/>
      </rPr>
      <t>更新</t>
    </r>
    <r>
      <rPr>
        <sz val="14"/>
        <color theme="1"/>
        <rFont val="Calibri"/>
        <family val="2"/>
      </rPr>
      <t>:05/12 14:10</t>
    </r>
    <phoneticPr fontId="8" type="noConversion"/>
  </si>
  <si>
    <t>2026年</t>
    <phoneticPr fontId="8" type="noConversion"/>
  </si>
  <si>
    <t>申請人</t>
  </si>
  <si>
    <t>你需要什麼表單</t>
  </si>
  <si>
    <t>長假申請開始日期</t>
  </si>
  <si>
    <t>長假申請結束日期</t>
  </si>
  <si>
    <t>長假申請共幾天</t>
  </si>
  <si>
    <t>January</t>
  </si>
  <si>
    <t>長假申請表(事前申請)</t>
  </si>
  <si>
    <t>5</t>
  </si>
  <si>
    <t>7</t>
  </si>
  <si>
    <t>February</t>
  </si>
  <si>
    <t>6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</si>
  <si>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</si>
  <si>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</si>
  <si>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</si>
  <si>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</si>
  <si>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</si>
  <si>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</si>
  <si>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</si>
  <si>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</si>
  <si>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</si>
  <si>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New Year’s Day</t>
  </si>
  <si>
    <t>TW Chinese New Year</t>
  </si>
  <si>
    <t>TW Peace Memorial Day (Observed on Feb 27th)</t>
  </si>
  <si>
    <t>TW Children's Day &amp; Tomb Sweeping Day</t>
  </si>
  <si>
    <t>TW Labor's Day</t>
  </si>
  <si>
    <t xml:space="preserve"> TW Dragon Boat Festival</t>
  </si>
  <si>
    <t>TW Moon Festival</t>
  </si>
  <si>
    <t>TW Teacher's Day</t>
  </si>
  <si>
    <t>National Day (Observed on Oct 9th)</t>
  </si>
  <si>
    <t xml:space="preserve"> TW Retrocession Day (Observed on Oct 26th)</t>
  </si>
  <si>
    <t>TW Constitution Day</t>
  </si>
  <si>
    <t>List</t>
    <phoneticPr fontId="8" type="noConversion"/>
  </si>
  <si>
    <t>January</t>
    <phoneticPr fontId="8" type="noConversion"/>
  </si>
  <si>
    <t>Sun</t>
    <phoneticPr fontId="8" type="noConversion"/>
  </si>
  <si>
    <t>Alex Chen</t>
    <phoneticPr fontId="8" type="noConversion"/>
  </si>
  <si>
    <t>一二</t>
    <phoneticPr fontId="8" type="noConversion"/>
  </si>
  <si>
    <t>Amber Wang</t>
    <phoneticPr fontId="8" type="noConversion"/>
  </si>
  <si>
    <t>March</t>
    <phoneticPr fontId="0" type="noConversion"/>
  </si>
  <si>
    <t>二三</t>
    <phoneticPr fontId="8" type="noConversion"/>
  </si>
  <si>
    <t>Tue</t>
  </si>
  <si>
    <t>Evan Liu</t>
    <phoneticPr fontId="8" type="noConversion"/>
  </si>
  <si>
    <t>三四</t>
    <phoneticPr fontId="8" type="noConversion"/>
  </si>
  <si>
    <t>Wed</t>
  </si>
  <si>
    <t>Howard Chen</t>
    <phoneticPr fontId="8" type="noConversion"/>
  </si>
  <si>
    <t>May</t>
    <phoneticPr fontId="8" type="noConversion"/>
  </si>
  <si>
    <t>四五</t>
    <phoneticPr fontId="8" type="noConversion"/>
  </si>
  <si>
    <t>Jacky Lee</t>
    <phoneticPr fontId="8" type="noConversion"/>
  </si>
  <si>
    <t>Half-PTO</t>
    <phoneticPr fontId="8" type="noConversion"/>
  </si>
  <si>
    <t>Fri</t>
  </si>
  <si>
    <t>Jian Kai Ding</t>
    <phoneticPr fontId="8" type="noConversion"/>
  </si>
  <si>
    <t>六日</t>
    <phoneticPr fontId="8" type="noConversion"/>
  </si>
  <si>
    <t>Rex Liao</t>
    <phoneticPr fontId="8" type="noConversion"/>
  </si>
  <si>
    <t>OT17-18</t>
    <phoneticPr fontId="8" type="noConversion"/>
  </si>
  <si>
    <t>August</t>
    <phoneticPr fontId="8" type="noConversion"/>
  </si>
  <si>
    <t>Sherry Lin</t>
    <phoneticPr fontId="8" type="noConversion"/>
  </si>
  <si>
    <t>OT14-15</t>
    <phoneticPr fontId="8" type="noConversion"/>
  </si>
  <si>
    <t>September</t>
    <phoneticPr fontId="8" type="noConversion"/>
  </si>
  <si>
    <t>Molly Song</t>
    <phoneticPr fontId="8" type="noConversion"/>
  </si>
  <si>
    <t>October</t>
    <phoneticPr fontId="8" type="noConversion"/>
  </si>
  <si>
    <t>July</t>
    <phoneticPr fontId="8" type="noConversion"/>
  </si>
  <si>
    <t>15:00
16:00
15:30</t>
    <phoneticPr fontId="8" type="noConversion"/>
  </si>
  <si>
    <t>Sun</t>
  </si>
  <si>
    <t>11:00/12:00</t>
    <phoneticPr fontId="8" type="noConversion"/>
  </si>
  <si>
    <t>12:00-21:00</t>
    <phoneticPr fontId="8" type="noConversion"/>
  </si>
  <si>
    <t>早班值日</t>
    <phoneticPr fontId="8" type="noConversion"/>
  </si>
  <si>
    <t>晚班值日</t>
    <phoneticPr fontId="8" type="noConversion"/>
  </si>
  <si>
    <t>值日天數</t>
    <phoneticPr fontId="8" type="noConversion"/>
  </si>
  <si>
    <t>X</t>
  </si>
  <si>
    <t>X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</si>
</sst>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409]d\-mmm;@"/>
    <numFmt numFmtId="177" formatCode="yyyy/mm/dd"/>
    <numFmt numFmtId="178" formatCode="#,##0;\-#,##0;"/>
    <numFmt numFmtId="179" formatCode="m&quot;月&quot;d&quot;日&quot;"/>
    <numFmt numFmtId="180" formatCode="0;\-0;;@"/>
  </numFmts>
  <fonts count="39">
    <font>
      <sz val="11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8"/>
      <color theme="1"/>
      <name val="Calibri"/>
      <family val="2"/>
    </font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9"/>
      <name val="微軟正黑體"/>
      <family val="2"/>
      <charset val="136"/>
    </font>
    <font>
      <sz val="11"/>
      <color theme="1"/>
      <name val="Noto Sans TC Medium"/>
      <family val="2"/>
      <charset val="136"/>
    </font>
    <font>
      <sz val="10"/>
      <color rgb="FF000000"/>
      <name val="Noto Sans TC Medium"/>
      <family val="2"/>
      <charset val="136"/>
    </font>
    <font>
      <sz val="8"/>
      <color theme="1"/>
      <name val="Noto Sans TC Medium"/>
      <family val="2"/>
      <charset val="136"/>
    </font>
    <font>
      <b/>
      <sz val="10"/>
      <color rgb="FF000000"/>
      <name val="Noto Sans TC Medium"/>
      <family val="2"/>
      <charset val="136"/>
    </font>
    <font>
      <b/>
      <sz val="8"/>
      <color theme="1"/>
      <name val="Noto Sans TC Medium"/>
      <family val="2"/>
      <charset val="136"/>
    </font>
    <font>
      <sz val="8"/>
      <color rgb="FF000000"/>
      <name val="Noto Sans TC Medium"/>
      <family val="2"/>
      <charset val="136"/>
    </font>
    <font>
      <b/>
      <sz val="8"/>
      <color rgb="FF000000"/>
      <name val="Noto Sans TC Medium"/>
      <family val="2"/>
      <charset val="136"/>
    </font>
    <font>
      <sz val="10"/>
      <color theme="1"/>
      <name val="Noto Sans TC Medium"/>
      <family val="2"/>
      <charset val="136"/>
    </font>
    <font>
      <sz val="12"/>
      <color rgb="FF000000"/>
      <name val="Noto Sans TC Medium"/>
      <family val="2"/>
      <charset val="136"/>
    </font>
    <font>
      <sz val="11"/>
      <color rgb="FF000000"/>
      <name val="Noto Sans TC Medium"/>
      <family val="2"/>
      <charset val="136"/>
    </font>
    <font>
      <sz val="9"/>
      <color theme="1"/>
      <name val="微軟正黑體"/>
      <family val="2"/>
      <charset val="136"/>
    </font>
    <font>
      <sz val="11"/>
      <color theme="1"/>
      <name val="新細明體"/>
      <family val="2"/>
      <charset val="136"/>
      <scheme val="minor"/>
    </font>
    <font>
      <b/>
      <sz val="16"/>
      <color theme="1"/>
      <name val="Noto Sans TC Medium"/>
      <family val="2"/>
      <charset val="136"/>
    </font>
    <font>
      <b/>
      <sz val="11"/>
      <color theme="0"/>
      <name val="新細明體"/>
      <family val="2"/>
      <scheme val="minor"/>
    </font>
    <font>
      <b/>
      <sz val="11"/>
      <color theme="1"/>
      <name val="Noto Sans TC Medium"/>
      <family val="2"/>
      <charset val="136"/>
    </font>
    <font>
      <b/>
      <sz val="11"/>
      <color theme="1"/>
      <name val="新細明體"/>
      <family val="2"/>
      <charset val="136"/>
      <scheme val="minor"/>
    </font>
    <font>
      <sz val="11"/>
      <color theme="1"/>
      <name val="Microsoft JhengHei"/>
      <family val="2"/>
      <charset val="136"/>
    </font>
    <font>
      <b/>
      <sz val="12"/>
      <color rgb="FF000000"/>
      <name val="Noto Sans TC Medium"/>
      <family val="2"/>
      <charset val="136"/>
    </font>
    <font>
      <sz val="9"/>
      <color rgb="FF000000"/>
      <name val="Noto Sans TC Medium"/>
      <family val="2"/>
      <charset val="136"/>
    </font>
    <font>
      <sz val="14"/>
      <color theme="1"/>
      <name val="Noto Sans TC Medium"/>
      <family val="2"/>
      <charset val="136"/>
    </font>
    <font>
      <sz val="14"/>
      <color theme="1"/>
      <name val="Microsoft JhengHei"/>
      <family val="2"/>
    </font>
    <font>
      <sz val="14"/>
      <color theme="1"/>
      <name val="Calibri"/>
      <family val="2"/>
    </font>
    <font>
      <b/>
      <sz val="9"/>
      <color rgb="FF000000"/>
      <name val="Noto Sans TC Medium"/>
      <family val="2"/>
      <charset val="136"/>
    </font>
    <font>
      <b/>
      <sz val="16"/>
      <color theme="1"/>
      <name val="Noto Sans TC Medium"/>
      <family val="2"/>
    </font>
  </fonts>
  <fills count="3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AEAEA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99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C6E0B4"/>
        <bgColor indexed="64"/>
      </patternFill>
    </fill>
    <fill>
      <patternFill patternType="solid">
        <fgColor rgb="FF9AC87A"/>
        <bgColor indexed="64"/>
      </patternFill>
    </fill>
    <fill>
      <patternFill patternType="solid">
        <fgColor rgb="FFA2CD85"/>
        <bgColor indexed="64"/>
      </patternFill>
    </fill>
    <fill>
      <patternFill patternType="solid">
        <fgColor rgb="FFA2CD85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7" tint="0.39997558519241921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9" fillId="0" borderId="0"/>
    <xf numFmtId="0" fontId="7" fillId="0" borderId="0"/>
    <xf numFmtId="0" fontId="6" fillId="0" borderId="0"/>
    <xf numFmtId="0" fontId="10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9" fontId="26" fillId="0" borderId="0" applyFon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11" fillId="0" borderId="0" xfId="8" applyFont="1" applyAlignment="1">
      <alignment horizontal="center" vertical="center"/>
    </xf>
    <xf numFmtId="0" fontId="15" fillId="0" borderId="0" xfId="0" applyFont="1">
      <alignment vertical="center"/>
    </xf>
    <xf numFmtId="0" fontId="16" fillId="4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19" fillId="6" borderId="1" xfId="0" applyNumberFormat="1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2" fillId="0" borderId="0" xfId="0" applyFont="1">
      <alignment vertical="center"/>
    </xf>
    <xf numFmtId="0" fontId="22" fillId="0" borderId="0" xfId="1" applyFont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37" fontId="19" fillId="6" borderId="1" xfId="0" applyNumberFormat="1" applyFont="1" applyFill="1" applyBorder="1" applyAlignment="1">
      <alignment horizontal="center" vertical="center"/>
    </xf>
    <xf numFmtId="177" fontId="15" fillId="0" borderId="0" xfId="0" applyNumberFormat="1" applyFont="1">
      <alignment vertical="center"/>
    </xf>
    <xf numFmtId="37" fontId="19" fillId="15" borderId="1" xfId="0" applyNumberFormat="1" applyFont="1" applyFill="1" applyBorder="1" applyAlignment="1">
      <alignment horizontal="center" vertical="center"/>
    </xf>
    <xf numFmtId="176" fontId="19" fillId="15" borderId="1" xfId="0" applyNumberFormat="1" applyFont="1" applyFill="1" applyBorder="1" applyAlignment="1">
      <alignment horizontal="center" vertical="center"/>
    </xf>
    <xf numFmtId="37" fontId="19" fillId="8" borderId="1" xfId="0" applyNumberFormat="1" applyFont="1" applyFill="1" applyBorder="1" applyAlignment="1">
      <alignment horizontal="center" vertical="center"/>
    </xf>
    <xf numFmtId="176" fontId="19" fillId="8" borderId="1" xfId="0" applyNumberFormat="1" applyFont="1" applyFill="1" applyBorder="1" applyAlignment="1">
      <alignment horizontal="center" vertical="center"/>
    </xf>
    <xf numFmtId="0" fontId="15" fillId="16" borderId="0" xfId="0" applyFont="1" applyFill="1">
      <alignment vertical="center"/>
    </xf>
    <xf numFmtId="0" fontId="27" fillId="0" borderId="5" xfId="0" applyFont="1" applyBorder="1" applyAlignment="1">
      <alignment horizontal="left" vertical="center" wrapText="1"/>
    </xf>
    <xf numFmtId="37" fontId="19" fillId="18" borderId="1" xfId="0" applyNumberFormat="1" applyFont="1" applyFill="1" applyBorder="1" applyAlignment="1">
      <alignment horizontal="center" vertical="center"/>
    </xf>
    <xf numFmtId="176" fontId="19" fillId="18" borderId="1" xfId="0" applyNumberFormat="1" applyFont="1" applyFill="1" applyBorder="1" applyAlignment="1">
      <alignment horizontal="center" vertical="center"/>
    </xf>
    <xf numFmtId="0" fontId="17" fillId="0" borderId="6" xfId="1" applyFont="1" applyBorder="1" applyAlignment="1">
      <alignment horizontal="center" vertical="center"/>
    </xf>
    <xf numFmtId="0" fontId="17" fillId="3" borderId="6" xfId="1" applyFont="1" applyFill="1" applyBorder="1" applyAlignment="1">
      <alignment horizontal="center" vertical="center"/>
    </xf>
    <xf numFmtId="37" fontId="17" fillId="6" borderId="1" xfId="0" applyNumberFormat="1" applyFont="1" applyFill="1" applyBorder="1" applyAlignment="1">
      <alignment horizontal="center" vertical="center"/>
    </xf>
    <xf numFmtId="176" fontId="17" fillId="6" borderId="1" xfId="0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28" fillId="20" borderId="10" xfId="0" applyFont="1" applyFill="1" applyBorder="1" applyAlignment="1"/>
    <xf numFmtId="0" fontId="29" fillId="0" borderId="0" xfId="0" applyFont="1">
      <alignment vertical="center"/>
    </xf>
    <xf numFmtId="0" fontId="30" fillId="19" borderId="10" xfId="0" applyFont="1" applyFill="1" applyBorder="1" applyAlignment="1"/>
    <xf numFmtId="14" fontId="30" fillId="19" borderId="10" xfId="0" applyNumberFormat="1" applyFont="1" applyFill="1" applyBorder="1" applyAlignment="1"/>
    <xf numFmtId="0" fontId="30" fillId="19" borderId="10" xfId="0" quotePrefix="1" applyFont="1" applyFill="1" applyBorder="1" applyAlignment="1"/>
    <xf numFmtId="0" fontId="30" fillId="0" borderId="10" xfId="0" applyFont="1" applyBorder="1" applyAlignment="1"/>
    <xf numFmtId="14" fontId="30" fillId="0" borderId="10" xfId="0" applyNumberFormat="1" applyFont="1" applyBorder="1" applyAlignment="1"/>
    <xf numFmtId="0" fontId="30" fillId="0" borderId="10" xfId="0" quotePrefix="1" applyFont="1" applyBorder="1" applyAlignment="1"/>
    <xf numFmtId="0" fontId="29" fillId="19" borderId="10" xfId="0" applyFont="1" applyFill="1" applyBorder="1" applyAlignment="1"/>
    <xf numFmtId="14" fontId="29" fillId="19" borderId="10" xfId="0" applyNumberFormat="1" applyFont="1" applyFill="1" applyBorder="1" applyAlignment="1"/>
    <xf numFmtId="0" fontId="29" fillId="19" borderId="10" xfId="0" quotePrefix="1" applyFont="1" applyFill="1" applyBorder="1" applyAlignment="1"/>
    <xf numFmtId="0" fontId="29" fillId="16" borderId="0" xfId="0" applyFont="1" applyFill="1">
      <alignment vertical="center"/>
    </xf>
    <xf numFmtId="179" fontId="17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49" fontId="17" fillId="2" borderId="1" xfId="1" applyNumberFormat="1" applyFont="1" applyFill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27" fillId="17" borderId="0" xfId="0" applyFont="1" applyFill="1" applyAlignment="1">
      <alignment vertical="center" wrapText="1"/>
    </xf>
    <xf numFmtId="0" fontId="17" fillId="2" borderId="1" xfId="1" applyFont="1" applyFill="1" applyBorder="1" applyAlignment="1">
      <alignment horizontal="center" vertical="center" wrapText="1"/>
    </xf>
    <xf numFmtId="49" fontId="33" fillId="13" borderId="1" xfId="0" applyNumberFormat="1" applyFont="1" applyFill="1" applyBorder="1" applyAlignment="1">
      <alignment horizontal="center" vertical="center" wrapText="1"/>
    </xf>
    <xf numFmtId="0" fontId="33" fillId="13" borderId="1" xfId="0" applyFont="1" applyFill="1" applyBorder="1" applyAlignment="1">
      <alignment horizontal="center" vertical="center" wrapText="1"/>
    </xf>
    <xf numFmtId="49" fontId="33" fillId="10" borderId="1" xfId="0" applyNumberFormat="1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horizontal="center" vertical="center" wrapText="1"/>
    </xf>
    <xf numFmtId="49" fontId="33" fillId="14" borderId="1" xfId="0" applyNumberFormat="1" applyFont="1" applyFill="1" applyBorder="1" applyAlignment="1">
      <alignment horizontal="center" vertical="center" wrapText="1"/>
    </xf>
    <xf numFmtId="0" fontId="33" fillId="14" borderId="1" xfId="0" applyFont="1" applyFill="1" applyBorder="1" applyAlignment="1">
      <alignment horizontal="center" vertical="center" wrapText="1"/>
    </xf>
    <xf numFmtId="37" fontId="19" fillId="22" borderId="1" xfId="0" applyNumberFormat="1" applyFont="1" applyFill="1" applyBorder="1" applyAlignment="1">
      <alignment horizontal="center" vertical="center"/>
    </xf>
    <xf numFmtId="176" fontId="19" fillId="22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78" fontId="22" fillId="0" borderId="1" xfId="0" applyNumberFormat="1" applyFont="1" applyBorder="1" applyAlignment="1">
      <alignment horizontal="center" vertical="center"/>
    </xf>
    <xf numFmtId="0" fontId="17" fillId="24" borderId="1" xfId="1" applyFont="1" applyFill="1" applyBorder="1" applyAlignment="1">
      <alignment horizontal="center" vertical="center" wrapText="1"/>
    </xf>
    <xf numFmtId="49" fontId="33" fillId="26" borderId="1" xfId="0" applyNumberFormat="1" applyFont="1" applyFill="1" applyBorder="1" applyAlignment="1">
      <alignment horizontal="center" vertical="center" wrapText="1"/>
    </xf>
    <xf numFmtId="0" fontId="33" fillId="26" borderId="1" xfId="0" applyFont="1" applyFill="1" applyBorder="1" applyAlignment="1">
      <alignment horizontal="center" vertical="center" wrapText="1"/>
    </xf>
    <xf numFmtId="180" fontId="17" fillId="0" borderId="0" xfId="0" applyNumberFormat="1" applyFont="1" applyAlignment="1">
      <alignment horizontal="center" vertical="center"/>
    </xf>
    <xf numFmtId="178" fontId="22" fillId="0" borderId="0" xfId="0" applyNumberFormat="1" applyFont="1" applyAlignment="1">
      <alignment horizontal="center" vertical="center"/>
    </xf>
    <xf numFmtId="0" fontId="17" fillId="0" borderId="17" xfId="1" applyFont="1" applyBorder="1" applyAlignment="1">
      <alignment horizontal="center" vertical="center"/>
    </xf>
    <xf numFmtId="178" fontId="20" fillId="6" borderId="1" xfId="0" applyNumberFormat="1" applyFont="1" applyFill="1" applyBorder="1" applyAlignment="1">
      <alignment horizontal="center" vertical="center"/>
    </xf>
    <xf numFmtId="49" fontId="17" fillId="18" borderId="1" xfId="1" applyNumberFormat="1" applyFont="1" applyFill="1" applyBorder="1" applyAlignment="1">
      <alignment horizontal="center" vertical="center" wrapText="1"/>
    </xf>
    <xf numFmtId="0" fontId="17" fillId="0" borderId="1" xfId="0" applyFont="1" applyBorder="1">
      <alignment vertical="center"/>
    </xf>
    <xf numFmtId="37" fontId="19" fillId="0" borderId="1" xfId="0" applyNumberFormat="1" applyFont="1" applyBorder="1" applyAlignment="1">
      <alignment horizontal="center" vertical="center"/>
    </xf>
    <xf numFmtId="176" fontId="19" fillId="0" borderId="1" xfId="0" applyNumberFormat="1" applyFont="1" applyBorder="1" applyAlignment="1">
      <alignment horizontal="center" vertical="center"/>
    </xf>
    <xf numFmtId="49" fontId="20" fillId="0" borderId="8" xfId="0" applyNumberFormat="1" applyFont="1" applyBorder="1" applyAlignment="1">
      <alignment horizontal="center" vertical="center"/>
    </xf>
    <xf numFmtId="49" fontId="33" fillId="27" borderId="1" xfId="0" applyNumberFormat="1" applyFont="1" applyFill="1" applyBorder="1" applyAlignment="1">
      <alignment horizontal="center" vertical="center" wrapText="1"/>
    </xf>
    <xf numFmtId="0" fontId="33" fillId="28" borderId="1" xfId="0" applyFont="1" applyFill="1" applyBorder="1" applyAlignment="1">
      <alignment horizontal="center" vertical="center" wrapText="1"/>
    </xf>
    <xf numFmtId="49" fontId="33" fillId="28" borderId="1" xfId="0" applyNumberFormat="1" applyFont="1" applyFill="1" applyBorder="1" applyAlignment="1">
      <alignment horizontal="center" vertical="center" wrapText="1"/>
    </xf>
    <xf numFmtId="180" fontId="17" fillId="0" borderId="2" xfId="0" applyNumberFormat="1" applyFont="1" applyBorder="1" applyAlignment="1">
      <alignment horizontal="center" vertical="center"/>
    </xf>
    <xf numFmtId="49" fontId="20" fillId="0" borderId="7" xfId="0" applyNumberFormat="1" applyFont="1" applyBorder="1" applyAlignment="1">
      <alignment horizontal="center" vertical="center"/>
    </xf>
    <xf numFmtId="49" fontId="20" fillId="0" borderId="9" xfId="0" applyNumberFormat="1" applyFont="1" applyBorder="1" applyAlignment="1">
      <alignment horizontal="center" vertical="center"/>
    </xf>
    <xf numFmtId="178" fontId="20" fillId="6" borderId="22" xfId="0" applyNumberFormat="1" applyFont="1" applyFill="1" applyBorder="1" applyAlignment="1">
      <alignment horizontal="center" vertical="center"/>
    </xf>
    <xf numFmtId="178" fontId="20" fillId="6" borderId="23" xfId="0" applyNumberFormat="1" applyFont="1" applyFill="1" applyBorder="1" applyAlignment="1">
      <alignment horizontal="center" vertical="center"/>
    </xf>
    <xf numFmtId="178" fontId="20" fillId="6" borderId="27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78" fontId="20" fillId="29" borderId="27" xfId="0" applyNumberFormat="1" applyFont="1" applyFill="1" applyBorder="1" applyAlignment="1">
      <alignment horizontal="center" vertical="center"/>
    </xf>
    <xf numFmtId="178" fontId="20" fillId="29" borderId="1" xfId="0" applyNumberFormat="1" applyFont="1" applyFill="1" applyBorder="1" applyAlignment="1">
      <alignment horizontal="center" vertical="center"/>
    </xf>
    <xf numFmtId="178" fontId="20" fillId="29" borderId="25" xfId="0" applyNumberFormat="1" applyFont="1" applyFill="1" applyBorder="1" applyAlignment="1">
      <alignment horizontal="center" vertical="center"/>
    </xf>
    <xf numFmtId="178" fontId="20" fillId="29" borderId="28" xfId="0" applyNumberFormat="1" applyFont="1" applyFill="1" applyBorder="1" applyAlignment="1">
      <alignment horizontal="center" vertical="center"/>
    </xf>
    <xf numFmtId="0" fontId="18" fillId="6" borderId="24" xfId="0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37" fillId="6" borderId="1" xfId="0" applyFont="1" applyFill="1" applyBorder="1" applyAlignment="1">
      <alignment horizontal="right" vertical="center"/>
    </xf>
    <xf numFmtId="0" fontId="37" fillId="6" borderId="7" xfId="0" applyFont="1" applyFill="1" applyBorder="1" applyAlignment="1">
      <alignment horizontal="right" vertical="center"/>
    </xf>
    <xf numFmtId="0" fontId="18" fillId="6" borderId="26" xfId="0" applyFont="1" applyFill="1" applyBorder="1" applyAlignment="1">
      <alignment horizontal="left" vertical="center" wrapText="1"/>
    </xf>
    <xf numFmtId="0" fontId="18" fillId="6" borderId="27" xfId="0" applyFont="1" applyFill="1" applyBorder="1" applyAlignment="1">
      <alignment horizontal="left" vertical="center" wrapText="1"/>
    </xf>
    <xf numFmtId="0" fontId="37" fillId="6" borderId="27" xfId="0" applyFont="1" applyFill="1" applyBorder="1" applyAlignment="1">
      <alignment horizontal="right" vertical="center"/>
    </xf>
    <xf numFmtId="0" fontId="22" fillId="3" borderId="1" xfId="0" applyFont="1" applyFill="1" applyBorder="1" applyAlignment="1">
      <alignment horizontal="center" vertical="center" wrapText="1"/>
    </xf>
    <xf numFmtId="178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80" fontId="17" fillId="0" borderId="1" xfId="0" applyNumberFormat="1" applyFont="1" applyBorder="1" applyAlignment="1">
      <alignment horizontal="center" vertical="center"/>
    </xf>
    <xf numFmtId="0" fontId="17" fillId="3" borderId="13" xfId="1" applyFont="1" applyFill="1" applyBorder="1" applyAlignment="1">
      <alignment horizontal="center" vertical="center"/>
    </xf>
    <xf numFmtId="0" fontId="17" fillId="3" borderId="14" xfId="1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20" fontId="17" fillId="0" borderId="11" xfId="1" applyNumberFormat="1" applyFont="1" applyBorder="1" applyAlignment="1">
      <alignment horizontal="center" vertical="center"/>
    </xf>
    <xf numFmtId="20" fontId="17" fillId="0" borderId="12" xfId="1" applyNumberFormat="1" applyFont="1" applyBorder="1" applyAlignment="1">
      <alignment horizontal="center" vertical="center"/>
    </xf>
    <xf numFmtId="20" fontId="17" fillId="0" borderId="18" xfId="1" applyNumberFormat="1" applyFont="1" applyBorder="1" applyAlignment="1">
      <alignment horizontal="center" vertical="center"/>
    </xf>
    <xf numFmtId="20" fontId="17" fillId="0" borderId="19" xfId="1" applyNumberFormat="1" applyFont="1" applyBorder="1" applyAlignment="1">
      <alignment horizontal="center" vertical="center"/>
    </xf>
    <xf numFmtId="20" fontId="17" fillId="0" borderId="15" xfId="1" applyNumberFormat="1" applyFont="1" applyBorder="1" applyAlignment="1">
      <alignment horizontal="center" vertical="center"/>
    </xf>
    <xf numFmtId="20" fontId="17" fillId="0" borderId="16" xfId="1" applyNumberFormat="1" applyFont="1" applyBorder="1" applyAlignment="1">
      <alignment horizontal="center" vertical="center"/>
    </xf>
    <xf numFmtId="0" fontId="18" fillId="6" borderId="20" xfId="0" applyFont="1" applyFill="1" applyBorder="1" applyAlignment="1">
      <alignment horizontal="left" vertical="center" wrapText="1"/>
    </xf>
    <xf numFmtId="0" fontId="18" fillId="6" borderId="21" xfId="0" applyFont="1" applyFill="1" applyBorder="1" applyAlignment="1">
      <alignment horizontal="left" vertical="center" wrapText="1"/>
    </xf>
    <xf numFmtId="0" fontId="37" fillId="6" borderId="21" xfId="0" applyFont="1" applyFill="1" applyBorder="1" applyAlignment="1">
      <alignment horizontal="right" vertical="center"/>
    </xf>
    <xf numFmtId="0" fontId="37" fillId="6" borderId="22" xfId="0" applyFont="1" applyFill="1" applyBorder="1" applyAlignment="1">
      <alignment horizontal="right" vertical="center"/>
    </xf>
    <xf numFmtId="0" fontId="18" fillId="11" borderId="1" xfId="0" applyFont="1" applyFill="1" applyBorder="1" applyAlignment="1">
      <alignment horizontal="center" vertical="center"/>
    </xf>
    <xf numFmtId="0" fontId="33" fillId="11" borderId="7" xfId="0" applyFont="1" applyFill="1" applyBorder="1" applyAlignment="1">
      <alignment horizontal="center" vertical="center"/>
    </xf>
    <xf numFmtId="0" fontId="33" fillId="11" borderId="8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8" fillId="25" borderId="7" xfId="0" applyFont="1" applyFill="1" applyBorder="1" applyAlignment="1">
      <alignment horizontal="center" vertical="center"/>
    </xf>
    <xf numFmtId="0" fontId="18" fillId="25" borderId="9" xfId="0" applyFont="1" applyFill="1" applyBorder="1" applyAlignment="1">
      <alignment horizontal="center" vertical="center"/>
    </xf>
    <xf numFmtId="0" fontId="33" fillId="25" borderId="1" xfId="0" applyFont="1" applyFill="1" applyBorder="1" applyAlignment="1">
      <alignment horizontal="center" vertical="center"/>
    </xf>
    <xf numFmtId="0" fontId="33" fillId="25" borderId="7" xfId="0" applyFont="1" applyFill="1" applyBorder="1" applyAlignment="1">
      <alignment horizontal="center" vertical="center"/>
    </xf>
    <xf numFmtId="0" fontId="21" fillId="25" borderId="7" xfId="0" applyFont="1" applyFill="1" applyBorder="1" applyAlignment="1">
      <alignment horizontal="center" vertical="center"/>
    </xf>
    <xf numFmtId="0" fontId="21" fillId="25" borderId="9" xfId="0" applyFont="1" applyFill="1" applyBorder="1" applyAlignment="1">
      <alignment horizontal="center" vertical="center"/>
    </xf>
    <xf numFmtId="20" fontId="21" fillId="25" borderId="7" xfId="0" applyNumberFormat="1" applyFont="1" applyFill="1" applyBorder="1" applyAlignment="1">
      <alignment horizontal="center" vertical="center" wrapText="1"/>
    </xf>
    <xf numFmtId="0" fontId="21" fillId="25" borderId="9" xfId="0" applyFont="1" applyFill="1" applyBorder="1" applyAlignment="1">
      <alignment horizontal="center" vertical="center" wrapText="1"/>
    </xf>
    <xf numFmtId="0" fontId="37" fillId="5" borderId="7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21" fillId="11" borderId="7" xfId="0" applyFont="1" applyFill="1" applyBorder="1" applyAlignment="1">
      <alignment horizontal="center" vertical="center" wrapText="1"/>
    </xf>
    <xf numFmtId="0" fontId="21" fillId="11" borderId="9" xfId="0" applyFont="1" applyFill="1" applyBorder="1" applyAlignment="1">
      <alignment horizontal="center" vertical="center" wrapText="1"/>
    </xf>
    <xf numFmtId="0" fontId="21" fillId="11" borderId="8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/>
    </xf>
    <xf numFmtId="0" fontId="33" fillId="9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33" fillId="12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18" fillId="12" borderId="7" xfId="0" applyFont="1" applyFill="1" applyBorder="1" applyAlignment="1">
      <alignment horizontal="center" vertical="center"/>
    </xf>
    <xf numFmtId="0" fontId="18" fillId="12" borderId="8" xfId="0" applyFont="1" applyFill="1" applyBorder="1" applyAlignment="1">
      <alignment horizontal="center" vertical="center"/>
    </xf>
    <xf numFmtId="20" fontId="21" fillId="12" borderId="7" xfId="0" applyNumberFormat="1" applyFont="1" applyFill="1" applyBorder="1" applyAlignment="1">
      <alignment horizontal="center" vertical="center" wrapText="1"/>
    </xf>
    <xf numFmtId="20" fontId="21" fillId="12" borderId="9" xfId="0" applyNumberFormat="1" applyFont="1" applyFill="1" applyBorder="1" applyAlignment="1">
      <alignment horizontal="center" vertical="center" wrapText="1"/>
    </xf>
    <xf numFmtId="20" fontId="21" fillId="12" borderId="8" xfId="0" applyNumberFormat="1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18" fillId="23" borderId="1" xfId="0" applyFont="1" applyFill="1" applyBorder="1" applyAlignment="1">
      <alignment horizontal="center" vertical="center"/>
    </xf>
    <xf numFmtId="0" fontId="33" fillId="23" borderId="1" xfId="0" applyFont="1" applyFill="1" applyBorder="1" applyAlignment="1">
      <alignment horizontal="center" vertical="center"/>
    </xf>
    <xf numFmtId="20" fontId="21" fillId="9" borderId="7" xfId="0" applyNumberFormat="1" applyFont="1" applyFill="1" applyBorder="1" applyAlignment="1">
      <alignment horizontal="center" vertical="center" wrapText="1"/>
    </xf>
    <xf numFmtId="20" fontId="21" fillId="9" borderId="9" xfId="0" applyNumberFormat="1" applyFont="1" applyFill="1" applyBorder="1" applyAlignment="1">
      <alignment horizontal="center" vertical="center" wrapText="1"/>
    </xf>
    <xf numFmtId="20" fontId="21" fillId="9" borderId="8" xfId="0" applyNumberFormat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34" fillId="21" borderId="0" xfId="0" applyFont="1" applyFill="1" applyAlignment="1">
      <alignment horizontal="left" vertical="center"/>
    </xf>
    <xf numFmtId="0" fontId="18" fillId="8" borderId="7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/>
    </xf>
    <xf numFmtId="0" fontId="27" fillId="17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 vertical="center"/>
    </xf>
  </cellXfs>
  <cellStyles count="10">
    <cellStyle name="Normal 2" xfId="1" xr:uid="{3CCB9BBF-5692-49AD-A3CB-2171C8E1F363}"/>
    <cellStyle name="Normal 2 2" xfId="4" xr:uid="{AF7A5BA6-CE37-452A-80EC-0BE0B8AB4A17}"/>
    <cellStyle name="Normal 2 2 2" xfId="5" xr:uid="{1636AB6D-E7DD-4DE7-BC72-B3B6FCD4D901}"/>
    <cellStyle name="Normal 2 2 2 2" xfId="6" xr:uid="{C76CFF4B-877D-4F53-82EB-A6EEAF84BCC4}"/>
    <cellStyle name="Normal 2 2 2 2 2" xfId="7" xr:uid="{C028246D-B985-4536-A201-C04426660E8F}"/>
    <cellStyle name="Normal 2 2 2 2 2 2" xfId="8" xr:uid="{238E2A76-CDFE-419F-948C-439AB31C7603}"/>
    <cellStyle name="Normal 3" xfId="2" xr:uid="{2DB6709B-CA69-43E5-A1BD-79DACEA418B3}"/>
    <cellStyle name="Normal 3 2" xfId="3" xr:uid="{4A35BDCF-4FA7-4064-95F6-468E60DBCBCB}"/>
    <cellStyle name="一般" xfId="0" builtinId="0"/>
    <cellStyle name="百分比 2" xfId="9" xr:uid="{86CE883C-CECA-4EC1-A1B8-A31112B5DD5E}"/>
  </cellStyles>
  <dxfs count="5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rgb="FFC00000"/>
      </font>
      <fill>
        <patternFill>
          <bgColor rgb="FFFFF2CC"/>
        </patternFill>
      </fill>
    </dxf>
    <dxf>
      <fill>
        <patternFill>
          <bgColor theme="4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FFFF00"/>
      </font>
      <fill>
        <patternFill>
          <bgColor rgb="FFC00000"/>
        </patternFill>
      </fill>
    </dxf>
    <dxf>
      <fill>
        <patternFill>
          <bgColor rgb="FFA2CD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rgb="FFFFF2CC"/>
        </patternFill>
      </fill>
    </dxf>
    <dxf>
      <font>
        <color rgb="FFC00000"/>
      </font>
    </dxf>
    <dxf>
      <font>
        <color rgb="FFC00000"/>
      </font>
      <fill>
        <patternFill>
          <bgColor theme="7" tint="0.79998168889431442"/>
        </patternFill>
      </fill>
    </dxf>
    <dxf>
      <font>
        <color rgb="FFC00000"/>
      </font>
    </dxf>
    <dxf>
      <fill>
        <patternFill>
          <bgColor theme="5" tint="0.59996337778862885"/>
        </patternFill>
      </fill>
    </dxf>
    <dxf>
      <font>
        <color rgb="FFFF0000"/>
      </font>
    </dxf>
    <dxf>
      <font>
        <b/>
        <i val="0"/>
        <color rgb="FFFFFF00"/>
      </font>
      <fill>
        <patternFill>
          <bgColor rgb="FFC00000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ill>
        <patternFill>
          <bgColor theme="4" tint="0.59996337778862885"/>
        </patternFill>
      </fill>
    </dxf>
    <dxf>
      <font>
        <color rgb="FFC00000"/>
      </font>
      <fill>
        <patternFill>
          <bgColor rgb="FFFFF2CC"/>
        </patternFill>
      </fill>
    </dxf>
  </dxfs>
  <tableStyles count="0" defaultTableStyle="TableStyleMedium2" defaultPivotStyle="PivotStyleLight16"/>
  <colors>
    <mruColors>
      <color rgb="FFFCE4D6"/>
      <color rgb="FFFFF2CC"/>
      <color rgb="FFEAEAEA"/>
      <color rgb="FFCC99FF"/>
      <color rgb="FFCCFFFF"/>
      <color rgb="FFA2CD85"/>
      <color rgb="FFFF99CC"/>
      <color rgb="FFC6E0B4"/>
      <color rgb="FF8EA9DB"/>
      <color rgb="FF9AC8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1027-22FB-472A-9BE8-3DDACDC1A731}">
  <dimension ref="A1:AR37"/>
  <sheetViews>
    <sheetView tabSelected="1" zoomScale="80" zoomScaleNormal="80" workbookViewId="0">
      <pane xSplit="7" ySplit="2" topLeftCell="H3" activePane="bottomRight" state="frozen"/>
      <selection pane="topRight" activeCell="H1" sqref="H1"/>
      <selection pane="bottomLeft" activeCell="A3" sqref="A3"/>
      <selection pane="bottomRight" sqref="A1:A2"/>
    </sheetView>
  </sheetViews>
  <sheetFormatPr defaultColWidth="9.125" defaultRowHeight="16.5" customHeight="1"/>
  <cols>
    <col min="1" max="1" width="15.75" style="11" customWidth="1"/>
    <col min="2" max="2" width="12.125" style="11" customWidth="1"/>
    <col min="3" max="3" width="5" style="11" customWidth="1"/>
    <col min="4" max="4" width="6.25" style="11" customWidth="1"/>
    <col min="5" max="5" width="5.75" style="11" customWidth="1"/>
    <col min="6" max="9" width="5.875" style="11" customWidth="1"/>
    <col min="10" max="40" width="11.625" style="10" customWidth="1"/>
    <col min="41" max="43" width="0" style="10" hidden="1" customWidth="1"/>
    <col min="44" max="44" width="10.5" style="10" hidden="1" customWidth="1"/>
    <col min="45" max="16384" width="9.125" style="10"/>
  </cols>
  <sheetData>
    <row r="1" spans="1:44" ht="16.5" customHeight="1">
      <c r="A1" s="144">
        <v>2026</v>
      </c>
      <c r="B1" s="50" t="s">
        <v>127</v>
      </c>
      <c r="C1" s="50" t="s">
        <v>1</v>
      </c>
      <c r="D1" s="145" t="s">
        <v>2</v>
      </c>
      <c r="E1" s="143" t="s">
        <v>3</v>
      </c>
      <c r="F1" s="143" t="s">
        <v>4</v>
      </c>
      <c r="G1" s="143" t="s">
        <v>5</v>
      </c>
      <c r="H1" s="143" t="s">
        <v>6</v>
      </c>
      <c r="I1" s="143" t="s">
        <v>7</v>
      </c>
      <c r="J1" s="31" t="str">
        <f t="shared" ref="J1:AN1" si="0">TEXT(J2,"ddd")</f>
        <v>Wed</v>
      </c>
      <c r="K1" s="31" t="str">
        <f t="shared" si="0"/>
        <v>Thu</v>
      </c>
      <c r="L1" s="31" t="str">
        <f t="shared" si="0"/>
        <v>Fri</v>
      </c>
      <c r="M1" s="31" t="str">
        <f t="shared" si="0"/>
        <v>Sat</v>
      </c>
      <c r="N1" s="31" t="str">
        <f t="shared" si="0"/>
        <v>Sun</v>
      </c>
      <c r="O1" s="31" t="str">
        <f t="shared" si="0"/>
        <v>Mon</v>
      </c>
      <c r="P1" s="31" t="str">
        <f t="shared" si="0"/>
        <v>Tue</v>
      </c>
      <c r="Q1" s="31" t="str">
        <f t="shared" si="0"/>
        <v>Wed</v>
      </c>
      <c r="R1" s="31" t="str">
        <f t="shared" si="0"/>
        <v>Thu</v>
      </c>
      <c r="S1" s="31" t="str">
        <f t="shared" si="0"/>
        <v>Fri</v>
      </c>
      <c r="T1" s="31" t="str">
        <f t="shared" si="0"/>
        <v>Sat</v>
      </c>
      <c r="U1" s="31" t="str">
        <f t="shared" si="0"/>
        <v>Sun</v>
      </c>
      <c r="V1" s="31" t="str">
        <f t="shared" si="0"/>
        <v>Mon</v>
      </c>
      <c r="W1" s="31" t="str">
        <f t="shared" si="0"/>
        <v>Tue</v>
      </c>
      <c r="X1" s="31" t="str">
        <f t="shared" si="0"/>
        <v>Wed</v>
      </c>
      <c r="Y1" s="31" t="str">
        <f t="shared" si="0"/>
        <v>Thu</v>
      </c>
      <c r="Z1" s="31" t="str">
        <f t="shared" si="0"/>
        <v>Fri</v>
      </c>
      <c r="AA1" s="31" t="str">
        <f t="shared" si="0"/>
        <v>Sat</v>
      </c>
      <c r="AB1" s="31" t="str">
        <f t="shared" si="0"/>
        <v>Sun</v>
      </c>
      <c r="AC1" s="31" t="str">
        <f t="shared" si="0"/>
        <v>Mon</v>
      </c>
      <c r="AD1" s="31" t="str">
        <f t="shared" si="0"/>
        <v>Tue</v>
      </c>
      <c r="AE1" s="31" t="str">
        <f t="shared" si="0"/>
        <v>Wed</v>
      </c>
      <c r="AF1" s="31" t="str">
        <f t="shared" si="0"/>
        <v>Thu</v>
      </c>
      <c r="AG1" s="31" t="str">
        <f t="shared" si="0"/>
        <v>Fri</v>
      </c>
      <c r="AH1" s="31" t="str">
        <f t="shared" si="0"/>
        <v>Sat</v>
      </c>
      <c r="AI1" s="31" t="str">
        <f t="shared" si="0"/>
        <v>Sun</v>
      </c>
      <c r="AJ1" s="31" t="str">
        <f t="shared" si="0"/>
        <v>Mon</v>
      </c>
      <c r="AK1" s="31" t="str">
        <f t="shared" si="0"/>
        <v>Tue</v>
      </c>
      <c r="AL1" s="31" t="str">
        <f t="shared" si="0"/>
        <v>Wed</v>
      </c>
      <c r="AM1" s="31" t="str">
        <f t="shared" si="0"/>
        <v>Thu</v>
      </c>
      <c r="AN1" s="31" t="str">
        <f t="shared" si="0"/>
        <v>Fri</v>
      </c>
      <c r="AO1" s="97" t="s">
        <v>8</v>
      </c>
      <c r="AP1" s="97" t="s">
        <v>9</v>
      </c>
      <c r="AQ1" s="97" t="s">
        <v>10</v>
      </c>
      <c r="AR1" s="97" t="s">
        <v>134</v>
      </c>
    </row>
    <row r="2" spans="1:44" ht="16.5" customHeight="1">
      <c r="A2" s="144"/>
      <c r="B2" s="50">
        <f>DAY(EOMONTH(DATEVALUE(B1 &amp; " 1"), 0)) - C2</f>
        <v>22</v>
      </c>
      <c r="C2" s="50">
        <f>VLOOKUP(B1, List!C1:D12, 2, FALSE)</f>
        <v>9</v>
      </c>
      <c r="D2" s="145"/>
      <c r="E2" s="143"/>
      <c r="F2" s="143"/>
      <c r="G2" s="143"/>
      <c r="H2" s="143"/>
      <c r="I2" s="143"/>
      <c r="J2" s="32">
        <f>DATE(A1, MONTH(DATEVALUE(B1 &amp; " 1")), 1)</f>
        <v>46204</v>
      </c>
      <c r="K2" s="32">
        <f t="shared" ref="K2:AN2" si="1">J2 + 1</f>
        <v>46205</v>
      </c>
      <c r="L2" s="32">
        <f t="shared" si="1"/>
        <v>46206</v>
      </c>
      <c r="M2" s="32">
        <f t="shared" si="1"/>
        <v>46207</v>
      </c>
      <c r="N2" s="32">
        <f t="shared" si="1"/>
        <v>46208</v>
      </c>
      <c r="O2" s="32">
        <f t="shared" si="1"/>
        <v>46209</v>
      </c>
      <c r="P2" s="32">
        <f t="shared" si="1"/>
        <v>46210</v>
      </c>
      <c r="Q2" s="32">
        <f t="shared" si="1"/>
        <v>46211</v>
      </c>
      <c r="R2" s="32">
        <f t="shared" si="1"/>
        <v>46212</v>
      </c>
      <c r="S2" s="32">
        <f t="shared" si="1"/>
        <v>46213</v>
      </c>
      <c r="T2" s="32">
        <f t="shared" si="1"/>
        <v>46214</v>
      </c>
      <c r="U2" s="32">
        <f t="shared" si="1"/>
        <v>46215</v>
      </c>
      <c r="V2" s="32">
        <f t="shared" si="1"/>
        <v>46216</v>
      </c>
      <c r="W2" s="32">
        <f t="shared" si="1"/>
        <v>46217</v>
      </c>
      <c r="X2" s="32">
        <f t="shared" si="1"/>
        <v>46218</v>
      </c>
      <c r="Y2" s="32">
        <f t="shared" si="1"/>
        <v>46219</v>
      </c>
      <c r="Z2" s="32">
        <f t="shared" si="1"/>
        <v>46220</v>
      </c>
      <c r="AA2" s="32">
        <f t="shared" si="1"/>
        <v>46221</v>
      </c>
      <c r="AB2" s="32">
        <f t="shared" si="1"/>
        <v>46222</v>
      </c>
      <c r="AC2" s="32">
        <f t="shared" si="1"/>
        <v>46223</v>
      </c>
      <c r="AD2" s="32">
        <f t="shared" si="1"/>
        <v>46224</v>
      </c>
      <c r="AE2" s="32">
        <f t="shared" si="1"/>
        <v>46225</v>
      </c>
      <c r="AF2" s="32">
        <f t="shared" si="1"/>
        <v>46226</v>
      </c>
      <c r="AG2" s="32">
        <f t="shared" si="1"/>
        <v>46227</v>
      </c>
      <c r="AH2" s="32">
        <f t="shared" si="1"/>
        <v>46228</v>
      </c>
      <c r="AI2" s="32">
        <f t="shared" si="1"/>
        <v>46229</v>
      </c>
      <c r="AJ2" s="32">
        <f t="shared" si="1"/>
        <v>46230</v>
      </c>
      <c r="AK2" s="32">
        <f t="shared" si="1"/>
        <v>46231</v>
      </c>
      <c r="AL2" s="32">
        <f t="shared" si="1"/>
        <v>46232</v>
      </c>
      <c r="AM2" s="32">
        <f t="shared" si="1"/>
        <v>46233</v>
      </c>
      <c r="AN2" s="32">
        <f t="shared" si="1"/>
        <v>46234</v>
      </c>
      <c r="AO2" s="97"/>
      <c r="AP2" s="97"/>
      <c r="AQ2" s="97"/>
      <c r="AR2" s="97"/>
    </row>
    <row r="3" spans="1:44" ht="16.5" customHeight="1">
      <c r="A3" s="138" t="s">
        <v>27</v>
      </c>
      <c r="B3" s="136" t="s">
        <v>12</v>
      </c>
      <c r="C3" s="137" t="s">
        <v>13</v>
      </c>
      <c r="D3" s="140" t="s">
        <v>14</v>
      </c>
      <c r="E3" s="76" cm="1">
        <f t="array" ref="E3">SUM(COUNTIF(J3:AN3, {"*08:00*","*11:00*","*15:00*"}))+(COUNTIF(J3:AN3,{"*Half*"})*0.5)</f>
        <v>21</v>
      </c>
      <c r="F3" s="55" cm="1">
        <f t="array" ref="F3">SUMPRODUCT(ISNUMBER(FIND("OFF",J3:AN3))*1)</f>
        <v>9</v>
      </c>
      <c r="G3" s="54">
        <f xml:space="preserve"> (COUNTIF(J3:AM3,"PTO")*1
   + COUNTIF(J3:AM3,"Half-PTO")*0.5+ + COUNTIF(J3:AM3,"PTO-Half")*0.5)</f>
        <v>1</v>
      </c>
      <c r="H3" s="54">
        <f xml:space="preserve"> (COUNTIF(J3:AM3,"AL")*1
   + COUNTIF(J3:AM3,"Half-AL")*0.5+ + COUNTIF(J3:AM3,"AL-Half")*0.5)</f>
        <v>0</v>
      </c>
      <c r="I3" s="55" cm="1">
        <f t="array" ref="I3">SUMPRODUCT(ISNUMBER(FIND("LOA",J3:AM3))*1)</f>
        <v>0</v>
      </c>
      <c r="J3" s="71" t="s">
        <v>16</v>
      </c>
      <c r="K3" s="48" t="str">
        <f t="shared" ref="K3:AN3" si="2">IF(  OR(    AND($C$3="日一", OR(K$1="Sun", K$1="Mon")),AND($C$3="六日", OR(K$1="Sun", K$1="Sat")),
    AND($C$3="五六", OR(K$1="Fri", K$1="Sat")),AND($C$3="四五", OR(K$1="Fri", K$1="Thu")),AND($C$3="二三", OR(K$1="Wed", K$1="Tue")),
    AND($C$3="三四", OR(K$1="Wed", K$1="Thu"))
  ),
  "OFF",
  "08:00"
)</f>
        <v>OFF</v>
      </c>
      <c r="L3" s="48" t="s">
        <v>17</v>
      </c>
      <c r="M3" s="48" t="str">
        <f t="shared" si="2"/>
        <v>08:00</v>
      </c>
      <c r="N3" s="48" t="str">
        <f t="shared" si="2"/>
        <v>08:00</v>
      </c>
      <c r="O3" s="48" t="str">
        <f t="shared" si="2"/>
        <v>08:00</v>
      </c>
      <c r="P3" s="48" t="str">
        <f t="shared" si="2"/>
        <v>08:00</v>
      </c>
      <c r="Q3" s="48" t="str">
        <f t="shared" si="2"/>
        <v>OFF</v>
      </c>
      <c r="R3" s="48" t="str">
        <f t="shared" si="2"/>
        <v>OFF</v>
      </c>
      <c r="S3" s="48" t="str">
        <f t="shared" si="2"/>
        <v>08:00</v>
      </c>
      <c r="T3" s="48" t="str">
        <f t="shared" si="2"/>
        <v>08:00</v>
      </c>
      <c r="U3" s="48" t="str">
        <f t="shared" si="2"/>
        <v>08:00</v>
      </c>
      <c r="V3" s="48" t="str">
        <f t="shared" si="2"/>
        <v>08:00</v>
      </c>
      <c r="W3" s="48" t="str">
        <f t="shared" si="2"/>
        <v>08:00</v>
      </c>
      <c r="X3" s="48" t="str">
        <f t="shared" si="2"/>
        <v>OFF</v>
      </c>
      <c r="Y3" s="48" t="str">
        <f t="shared" si="2"/>
        <v>OFF</v>
      </c>
      <c r="Z3" s="48" t="str">
        <f t="shared" si="2"/>
        <v>08:00</v>
      </c>
      <c r="AA3" s="48" t="str">
        <f t="shared" si="2"/>
        <v>08:00</v>
      </c>
      <c r="AB3" s="48" t="str">
        <f t="shared" si="2"/>
        <v>08:00</v>
      </c>
      <c r="AC3" s="48" t="str">
        <f t="shared" si="2"/>
        <v>08:00</v>
      </c>
      <c r="AD3" s="48" t="str">
        <f t="shared" si="2"/>
        <v>08:00</v>
      </c>
      <c r="AE3" s="48" t="str">
        <f t="shared" si="2"/>
        <v>OFF</v>
      </c>
      <c r="AF3" s="48" t="str">
        <f t="shared" si="2"/>
        <v>OFF</v>
      </c>
      <c r="AG3" s="48" t="str">
        <f t="shared" si="2"/>
        <v>08:00</v>
      </c>
      <c r="AH3" s="48" t="str">
        <f t="shared" si="2"/>
        <v>08:00</v>
      </c>
      <c r="AI3" s="48" t="str">
        <f t="shared" si="2"/>
        <v>08:00</v>
      </c>
      <c r="AJ3" s="48" t="str">
        <f t="shared" si="2"/>
        <v>08:00</v>
      </c>
      <c r="AK3" s="48" t="str">
        <f t="shared" si="2"/>
        <v>08:00</v>
      </c>
      <c r="AL3" s="48" t="str">
        <f t="shared" si="2"/>
        <v>OFF</v>
      </c>
      <c r="AM3" s="48" t="str">
        <f t="shared" si="2"/>
        <v>OFF</v>
      </c>
      <c r="AN3" s="48" t="str">
        <f t="shared" si="2"/>
        <v>08:00</v>
      </c>
      <c r="AO3" s="103" t="str" cm="1">
        <f t="array" ref="AO3">_xlfn.LET(
    _xlpm.data,J3:AM3,
    _xlpm.counter, _xlfn.SCAN(0, _xlpm.data, _xlfn.LAMBDA(_xlpm.a,_xlpm.b, IF(_xlpm.b&lt;&gt;"OFF", _xlpm.a+1, 0))),
    IF(MAX(_xlpm.counter)&gt;=6, "X", "OK")
)</f>
        <v>OK</v>
      </c>
      <c r="AP3" s="62" t="s">
        <v>18</v>
      </c>
      <c r="AQ3" s="100">
        <f>COUNTA(J4:AM4)</f>
        <v>13</v>
      </c>
      <c r="AR3" s="98">
        <f>COUNTIF(J22:AN22, "Evan Liu")+ COUNTIF(J23:AN23, "Evan Liu")</f>
        <v>8</v>
      </c>
    </row>
    <row r="4" spans="1:44" ht="16.5" customHeight="1">
      <c r="A4" s="139"/>
      <c r="B4" s="136"/>
      <c r="C4" s="137"/>
      <c r="D4" s="141"/>
      <c r="E4" s="128" t="s">
        <v>19</v>
      </c>
      <c r="F4" s="128"/>
      <c r="G4" s="128"/>
      <c r="H4" s="128"/>
      <c r="I4" s="128"/>
      <c r="J4" s="49" t="s">
        <v>20</v>
      </c>
      <c r="K4" s="49"/>
      <c r="L4" s="49" t="s">
        <v>20</v>
      </c>
      <c r="M4" s="49"/>
      <c r="N4" s="49"/>
      <c r="O4" s="49" t="s">
        <v>20</v>
      </c>
      <c r="P4" s="49" t="s">
        <v>20</v>
      </c>
      <c r="Q4" s="49"/>
      <c r="R4" s="49"/>
      <c r="S4" s="49" t="s">
        <v>20</v>
      </c>
      <c r="T4" s="49"/>
      <c r="U4" s="49"/>
      <c r="V4" s="49" t="s">
        <v>20</v>
      </c>
      <c r="W4" s="49" t="s">
        <v>20</v>
      </c>
      <c r="X4" s="49"/>
      <c r="Y4" s="49"/>
      <c r="Z4" s="49" t="s">
        <v>21</v>
      </c>
      <c r="AA4" s="49"/>
      <c r="AB4" s="49"/>
      <c r="AC4" s="49" t="s">
        <v>21</v>
      </c>
      <c r="AD4" s="49" t="s">
        <v>21</v>
      </c>
      <c r="AE4" s="49"/>
      <c r="AF4" s="49"/>
      <c r="AG4" s="49" t="s">
        <v>21</v>
      </c>
      <c r="AH4" s="49"/>
      <c r="AI4" s="49"/>
      <c r="AJ4" s="49" t="s">
        <v>21</v>
      </c>
      <c r="AK4" s="49" t="s">
        <v>21</v>
      </c>
      <c r="AL4" s="49"/>
      <c r="AM4" s="49"/>
      <c r="AN4" s="49" t="s">
        <v>21</v>
      </c>
      <c r="AO4" s="104"/>
      <c r="AP4" s="62" t="str">
        <f>IF(COUNTIFS($J$1:$AM$1, AP3, $J$3:$AM$3, "&lt;&gt;OFF")=0, "OK", "X")</f>
        <v>OK</v>
      </c>
      <c r="AQ4" s="100"/>
      <c r="AR4" s="99"/>
    </row>
    <row r="5" spans="1:44" ht="16.5" customHeight="1">
      <c r="A5" s="135" t="s">
        <v>117</v>
      </c>
      <c r="B5" s="136" t="s">
        <v>12</v>
      </c>
      <c r="C5" s="137" t="s">
        <v>23</v>
      </c>
      <c r="D5" s="141"/>
      <c r="E5" s="76" cm="1">
        <f t="array" ref="E5">SUM(COUNTIF(J5:AN5, {"*08:00*","*11:00*","*15:00*"}))+(COUNTIF(J5:AN5,{"*Half*"})*0.5)</f>
        <v>21</v>
      </c>
      <c r="F5" s="55" cm="1">
        <f t="array" ref="F5">SUMPRODUCT(ISNUMBER(FIND("OFF",J5:AN5))*1)</f>
        <v>9</v>
      </c>
      <c r="G5" s="54">
        <f xml:space="preserve"> (COUNTIF(J5:AM5,"PTO")*1
   + COUNTIF(J5:AM5,"Half-PTO")*0.5+ + COUNTIF(J5:AM5,"PTO-Half")*0.5)</f>
        <v>1</v>
      </c>
      <c r="H5" s="54">
        <f xml:space="preserve"> (COUNTIF(J5:AM5,"AL")*1
   + COUNTIF(J5:AM5,"Half-AL")*0.5+ + COUNTIF(J5:AM5,"AL-Half")*0.5)</f>
        <v>0</v>
      </c>
      <c r="I5" s="55" cm="1">
        <f t="array" ref="I5">SUMPRODUCT(ISNUMBER(FIND("LOA",J5:AM5))*1)</f>
        <v>0</v>
      </c>
      <c r="J5" s="48" t="str">
        <f t="shared" ref="J5:AN5" si="3">IF(
  OR(
    AND($C$5="二三", OR(J$1="Tue", J$1="Wed")),AND($C$5="三四", OR(J$1="Wed", J$1="Thu")),AND($C$5="四五", OR(J$1="Fri", J$1="Thu")),AND($C$5="日一", OR(J$1="Sun", J$1="Mon")),
    AND($C$5="五六", OR(J$1="Fri", J$1="Sat")), AND($C$5="六日", OR(J$1="Sun", J$1="Sat"))
  ),
  "OFF",
  "08:00"
)</f>
        <v>08:00</v>
      </c>
      <c r="K5" s="48" t="str">
        <f t="shared" si="3"/>
        <v>08:00</v>
      </c>
      <c r="L5" s="48" t="s">
        <v>15</v>
      </c>
      <c r="M5" s="48" t="str">
        <f t="shared" si="3"/>
        <v>OFF</v>
      </c>
      <c r="N5" s="48" t="s">
        <v>16</v>
      </c>
      <c r="O5" s="48" t="str">
        <f t="shared" si="3"/>
        <v>08:00</v>
      </c>
      <c r="P5" s="48" t="str">
        <f t="shared" si="3"/>
        <v>08:00</v>
      </c>
      <c r="Q5" s="48" t="str">
        <f t="shared" si="3"/>
        <v>08:00</v>
      </c>
      <c r="R5" s="48" t="s">
        <v>17</v>
      </c>
      <c r="S5" s="48" t="str">
        <f t="shared" si="3"/>
        <v>OFF</v>
      </c>
      <c r="T5" s="48" t="str">
        <f t="shared" si="3"/>
        <v>OFF</v>
      </c>
      <c r="U5" s="48" t="str">
        <f t="shared" si="3"/>
        <v>08:00</v>
      </c>
      <c r="V5" s="48" t="str">
        <f t="shared" si="3"/>
        <v>08:00</v>
      </c>
      <c r="W5" s="48" t="str">
        <f t="shared" si="3"/>
        <v>08:00</v>
      </c>
      <c r="X5" s="48" t="str">
        <f t="shared" si="3"/>
        <v>08:00</v>
      </c>
      <c r="Y5" s="48" t="str">
        <f t="shared" si="3"/>
        <v>08:00</v>
      </c>
      <c r="Z5" s="48" t="str">
        <f t="shared" si="3"/>
        <v>OFF</v>
      </c>
      <c r="AA5" s="48" t="str">
        <f t="shared" si="3"/>
        <v>OFF</v>
      </c>
      <c r="AB5" s="48" t="str">
        <f t="shared" si="3"/>
        <v>08:00</v>
      </c>
      <c r="AC5" s="48" t="str">
        <f t="shared" si="3"/>
        <v>08:00</v>
      </c>
      <c r="AD5" s="48" t="str">
        <f t="shared" si="3"/>
        <v>08:00</v>
      </c>
      <c r="AE5" s="48" t="str">
        <f t="shared" si="3"/>
        <v>08:00</v>
      </c>
      <c r="AF5" s="48" t="str">
        <f t="shared" si="3"/>
        <v>08:00</v>
      </c>
      <c r="AG5" s="48" t="str">
        <f t="shared" si="3"/>
        <v>OFF</v>
      </c>
      <c r="AH5" s="48" t="str">
        <f t="shared" si="3"/>
        <v>OFF</v>
      </c>
      <c r="AI5" s="48" t="str">
        <f t="shared" si="3"/>
        <v>08:00</v>
      </c>
      <c r="AJ5" s="48" t="str">
        <f t="shared" si="3"/>
        <v>08:00</v>
      </c>
      <c r="AK5" s="48" t="str">
        <f t="shared" si="3"/>
        <v>08:00</v>
      </c>
      <c r="AL5" s="48" t="str">
        <f t="shared" si="3"/>
        <v>08:00</v>
      </c>
      <c r="AM5" s="48" t="str">
        <f t="shared" si="3"/>
        <v>08:00</v>
      </c>
      <c r="AN5" s="48" t="str">
        <f t="shared" si="3"/>
        <v>OFF</v>
      </c>
      <c r="AO5" s="103" t="str" cm="1">
        <f t="array" ref="AO5">_xlfn.LET(
    _xlpm.data,J5:AM5,
    _xlpm.counter, _xlfn.SCAN(0, _xlpm.data, _xlfn.LAMBDA(_xlpm.a,_xlpm.b, IF(_xlpm.b&lt;&gt;"OFF", _xlpm.a+1, 0))),
    IF(MAX(_xlpm.counter)&gt;=6, "X", "OK")
)</f>
        <v>OK</v>
      </c>
      <c r="AP5" s="62" t="s">
        <v>24</v>
      </c>
      <c r="AQ5" s="100">
        <f>COUNTA(J6:AM6)</f>
        <v>17</v>
      </c>
      <c r="AR5" s="98">
        <f>COUNTIF(J22:AN22, "Jian Kai Ding")+ COUNTIF(J23:AN23, "Jian Kai Ding")</f>
        <v>3</v>
      </c>
    </row>
    <row r="6" spans="1:44" ht="16.5" customHeight="1">
      <c r="A6" s="135"/>
      <c r="B6" s="136"/>
      <c r="C6" s="137"/>
      <c r="D6" s="142"/>
      <c r="E6" s="128" t="s">
        <v>19</v>
      </c>
      <c r="F6" s="128"/>
      <c r="G6" s="128"/>
      <c r="H6" s="128"/>
      <c r="I6" s="128"/>
      <c r="J6" s="49" t="s">
        <v>25</v>
      </c>
      <c r="K6" s="49" t="s">
        <v>25</v>
      </c>
      <c r="L6" s="49"/>
      <c r="M6" s="49"/>
      <c r="N6" s="49"/>
      <c r="O6" s="49" t="s">
        <v>25</v>
      </c>
      <c r="P6" s="49" t="s">
        <v>25</v>
      </c>
      <c r="Q6" s="49" t="s">
        <v>25</v>
      </c>
      <c r="R6" s="49"/>
      <c r="S6" s="49"/>
      <c r="T6" s="49"/>
      <c r="U6" s="49"/>
      <c r="V6" s="49" t="s">
        <v>25</v>
      </c>
      <c r="W6" s="49" t="s">
        <v>25</v>
      </c>
      <c r="X6" s="49" t="s">
        <v>25</v>
      </c>
      <c r="Y6" s="49" t="s">
        <v>25</v>
      </c>
      <c r="Z6" s="49"/>
      <c r="AA6" s="49"/>
      <c r="AB6" s="49"/>
      <c r="AC6" s="49" t="s">
        <v>26</v>
      </c>
      <c r="AD6" s="49" t="s">
        <v>26</v>
      </c>
      <c r="AE6" s="49" t="s">
        <v>26</v>
      </c>
      <c r="AF6" s="49" t="s">
        <v>26</v>
      </c>
      <c r="AG6" s="49"/>
      <c r="AH6" s="49"/>
      <c r="AI6" s="49"/>
      <c r="AJ6" s="49" t="s">
        <v>26</v>
      </c>
      <c r="AK6" s="49" t="s">
        <v>26</v>
      </c>
      <c r="AL6" s="49" t="s">
        <v>26</v>
      </c>
      <c r="AM6" s="49" t="s">
        <v>26</v>
      </c>
      <c r="AN6" s="49"/>
      <c r="AO6" s="104"/>
      <c r="AP6" s="62" t="str">
        <f>IF(COUNTIFS($J$1:$AM$1, AP5, $J$5:$AM$5, "&lt;&gt;OFF")=0, "OK", "X")</f>
        <v>OK</v>
      </c>
      <c r="AQ6" s="100"/>
      <c r="AR6" s="99"/>
    </row>
    <row r="7" spans="1:44" ht="16.5" customHeight="1">
      <c r="A7" s="146" t="s">
        <v>122</v>
      </c>
      <c r="B7" s="147" t="s">
        <v>28</v>
      </c>
      <c r="C7" s="134" t="s">
        <v>33</v>
      </c>
      <c r="D7" s="148" t="s">
        <v>128</v>
      </c>
      <c r="E7" s="78" cm="1">
        <f t="array" ref="E7">SUM(COUNTIF(J7:AN7, {"*08:00*","*11:00*","*15:00*"}))+(COUNTIF(J7:AN7,{"*Half*"})*0.5)</f>
        <v>20</v>
      </c>
      <c r="F7" s="77" cm="1">
        <f t="array" ref="F7">SUMPRODUCT(ISNUMBER(FIND("OFF",J7:AN7))*1)</f>
        <v>9</v>
      </c>
      <c r="G7" s="56">
        <f xml:space="preserve"> (COUNTIF(J7:AM7,"PTO")*1
   + COUNTIF(J7:AM7,"Half-PTO")*0.5+ + COUNTIF(J7:AM7,"PTO-Half")*0.5)</f>
        <v>1</v>
      </c>
      <c r="H7" s="56">
        <f xml:space="preserve"> (COUNTIF(J7:AM7,"AL")*1
   + COUNTIF(J7:AM7,"Half-AL")*0.5+ + COUNTIF(J7:AM7,"AL-Half")*0.5)</f>
        <v>0</v>
      </c>
      <c r="I7" s="57" cm="1">
        <f t="array" ref="I7">SUMPRODUCT(ISNUMBER(FIND("LOA",J7:AM7))*1)</f>
        <v>1</v>
      </c>
      <c r="J7" s="53" t="str">
        <f>IF(OR(AND($C$7="六日", OR(J$1="Sun", J$1="Sat")), AND($C$7="日一", OR(J$1="Sun", J$1="Mon")), AND($C$7="二三", OR(J$1="Tue", J$1="Wed")), AND($C$7="一二", OR(J$1="Tue", J$1="Mon")), AND($C$7="五六", OR(J$1="Fri", J$1="Sat")), AND($C$7="四五", OR(J$1="Fri", J$1="Thu")), AND($C$7="三四", OR(J$1="Wed", J$1="Thu"))), "OFF", "11:00")</f>
        <v>11:00</v>
      </c>
      <c r="K7" s="53" t="str">
        <f t="shared" ref="K7:AN7" si="4">IF(OR(AND($C$7="六日", OR(K$1="Sun", K$1="Sat")), AND($C$7="日一", OR(K$1="Sun", K$1="Mon")), AND($C$7="二三", OR(K$1="Tue", K$1="Wed")), AND($C$7="一二", OR(K$1="Tue", K$1="Mon")), AND($C$7="五六", OR(K$1="Fri", K$1="Sat")), AND($C$7="四五", OR(K$1="Fri", K$1="Thu")), AND($C$7="三四", OR(K$1="Wed", K$1="Thu"))), "OFF", "11:00")</f>
        <v>11:00</v>
      </c>
      <c r="L7" s="48" t="s">
        <v>16</v>
      </c>
      <c r="M7" s="53" t="s">
        <v>7</v>
      </c>
      <c r="N7" s="53" t="str">
        <f t="shared" si="4"/>
        <v>OFF</v>
      </c>
      <c r="O7" s="53" t="str">
        <f t="shared" si="4"/>
        <v>OFF</v>
      </c>
      <c r="P7" s="53" t="str">
        <f t="shared" si="4"/>
        <v>11:00</v>
      </c>
      <c r="Q7" s="53" t="str">
        <f t="shared" si="4"/>
        <v>11:00</v>
      </c>
      <c r="R7" s="53" t="str">
        <f t="shared" si="4"/>
        <v>11:00</v>
      </c>
      <c r="S7" s="53" t="str">
        <f t="shared" si="4"/>
        <v>11:00</v>
      </c>
      <c r="T7" s="53" t="s">
        <v>17</v>
      </c>
      <c r="U7" s="53" t="str">
        <f t="shared" si="4"/>
        <v>OFF</v>
      </c>
      <c r="V7" s="53" t="str">
        <f t="shared" si="4"/>
        <v>OFF</v>
      </c>
      <c r="W7" s="53" t="str">
        <f t="shared" si="4"/>
        <v>11:00</v>
      </c>
      <c r="X7" s="53" t="str">
        <f t="shared" si="4"/>
        <v>11:00</v>
      </c>
      <c r="Y7" s="53" t="str">
        <f t="shared" si="4"/>
        <v>11:00</v>
      </c>
      <c r="Z7" s="53" t="str">
        <f t="shared" si="4"/>
        <v>11:00</v>
      </c>
      <c r="AA7" s="53" t="s">
        <v>15</v>
      </c>
      <c r="AB7" s="53" t="str">
        <f t="shared" si="4"/>
        <v>OFF</v>
      </c>
      <c r="AC7" s="53" t="str">
        <f t="shared" si="4"/>
        <v>OFF</v>
      </c>
      <c r="AD7" s="53" t="str">
        <f t="shared" si="4"/>
        <v>11:00</v>
      </c>
      <c r="AE7" s="53" t="str">
        <f t="shared" si="4"/>
        <v>11:00</v>
      </c>
      <c r="AF7" s="53" t="str">
        <f t="shared" si="4"/>
        <v>11:00</v>
      </c>
      <c r="AG7" s="53" t="str">
        <f t="shared" si="4"/>
        <v>11:00</v>
      </c>
      <c r="AH7" s="53" t="str">
        <f t="shared" si="4"/>
        <v>11:00</v>
      </c>
      <c r="AI7" s="53" t="str">
        <f t="shared" si="4"/>
        <v>OFF</v>
      </c>
      <c r="AJ7" s="53" t="str">
        <f t="shared" si="4"/>
        <v>OFF</v>
      </c>
      <c r="AK7" s="53" t="str">
        <f t="shared" si="4"/>
        <v>11:00</v>
      </c>
      <c r="AL7" s="53" t="str">
        <f t="shared" si="4"/>
        <v>11:00</v>
      </c>
      <c r="AM7" s="53" t="str">
        <f t="shared" si="4"/>
        <v>11:00</v>
      </c>
      <c r="AN7" s="53" t="str">
        <f t="shared" si="4"/>
        <v>11:00</v>
      </c>
      <c r="AO7" s="103" t="str" cm="1">
        <f t="array" ref="AO7">_xlfn.LET(
    _xlpm.data,J7:AM7,
    _xlpm.counter, _xlfn.SCAN(0, _xlpm.data, _xlfn.LAMBDA(_xlpm.a,_xlpm.b, IF(_xlpm.b&lt;&gt;"OFF", _xlpm.a+1, 0))),
    IF(MAX(_xlpm.counter)&gt;=6, "X", "OK")
)</f>
        <v>OK</v>
      </c>
      <c r="AP7" s="62" t="s">
        <v>129</v>
      </c>
      <c r="AQ7" s="100">
        <f>COUNTA(J8:AM8)</f>
        <v>1</v>
      </c>
      <c r="AR7" s="98">
        <f>COUNTIF(J22:AN22, "Sherry Lin")+ COUNTIF(J23:AN23, "Sherry Lin")</f>
        <v>3</v>
      </c>
    </row>
    <row r="8" spans="1:44" ht="16.5" customHeight="1">
      <c r="A8" s="146"/>
      <c r="B8" s="147"/>
      <c r="C8" s="134"/>
      <c r="D8" s="149"/>
      <c r="E8" s="128" t="s">
        <v>19</v>
      </c>
      <c r="F8" s="128"/>
      <c r="G8" s="128"/>
      <c r="H8" s="128"/>
      <c r="I8" s="128"/>
      <c r="J8" s="49"/>
      <c r="K8" s="49"/>
      <c r="L8" s="49" t="s">
        <v>21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75"/>
      <c r="AO8" s="104"/>
      <c r="AP8" s="62" t="str">
        <f>IF(COUNTIFS($J$1:$AM$1, AP7, $J$7:$AM$7, "&lt;&gt;OFF")=0, "OK", "X")</f>
        <v>OK</v>
      </c>
      <c r="AQ8" s="100"/>
      <c r="AR8" s="99"/>
    </row>
    <row r="9" spans="1:44" ht="16.5" customHeight="1">
      <c r="A9" s="132" t="s">
        <v>11</v>
      </c>
      <c r="B9" s="133" t="s">
        <v>28</v>
      </c>
      <c r="C9" s="134" t="s">
        <v>13</v>
      </c>
      <c r="D9" s="149"/>
      <c r="E9" s="78" cm="1">
        <f t="array" ref="E9">SUM(COUNTIF(J9:AN9, {"*08:00*","*11:00*","*15:00*"}))+(COUNTIF(J9:AN9,{"*Half*"})*0.5)</f>
        <v>22</v>
      </c>
      <c r="F9" s="57" cm="1">
        <f t="array" ref="F9">SUMPRODUCT(ISNUMBER(FIND("OFF",J9:AN9))*1)</f>
        <v>9</v>
      </c>
      <c r="G9" s="56">
        <f xml:space="preserve"> (COUNTIF(J9:AM9,"PTO")*1
   + COUNTIF(J9:AM9,"Half-PTO")*0.5+ + COUNTIF(J9:AM9,"PTO-Half")*0.5)</f>
        <v>0</v>
      </c>
      <c r="H9" s="56">
        <f xml:space="preserve"> (COUNTIF(J9:AM9,"AL")*1
   + COUNTIF(J9:AM9,"Half-AL")*0.5+ + COUNTIF(J9:AM9,"AL-Half")*0.5)</f>
        <v>0</v>
      </c>
      <c r="I9" s="57" cm="1">
        <f t="array" ref="I9">SUMPRODUCT(ISNUMBER(FIND("LOA",J9:AM9))*1)</f>
        <v>0</v>
      </c>
      <c r="J9" s="48" t="s">
        <v>30</v>
      </c>
      <c r="K9" s="48" t="str">
        <f t="shared" ref="K9:AN9" si="5">IF(
  OR(
    AND($C$9="二三", OR(K$1="Tue", K$1="Wed")),AND($C$9="四五", OR(K$1="Fri", K$1="Thu")),
    AND($C$9="五六", OR(K$1="Fri", K$1="Sat")),AND($C$9="六日", OR(K$1="Sun", K$1="Sat")),AND($C$9="日一", OR(K$1="Sun", K$1="Mon")),
    AND($C$9="三四", OR(K$1="Wed", K$1="Thu"))
  ),
  "OFF",
  "11:00"
)</f>
        <v>OFF</v>
      </c>
      <c r="L9" s="48" t="str">
        <f t="shared" si="5"/>
        <v>11:00</v>
      </c>
      <c r="M9" s="48" t="str">
        <f t="shared" si="5"/>
        <v>11:00</v>
      </c>
      <c r="N9" s="48" t="str">
        <f t="shared" si="5"/>
        <v>11:00</v>
      </c>
      <c r="O9" s="48" t="str">
        <f t="shared" si="5"/>
        <v>11:00</v>
      </c>
      <c r="P9" s="48" t="str">
        <f t="shared" si="5"/>
        <v>11:00</v>
      </c>
      <c r="Q9" s="48" t="str">
        <f t="shared" si="5"/>
        <v>OFF</v>
      </c>
      <c r="R9" s="48" t="str">
        <f t="shared" si="5"/>
        <v>OFF</v>
      </c>
      <c r="S9" s="48" t="str">
        <f t="shared" si="5"/>
        <v>11:00</v>
      </c>
      <c r="T9" s="48" t="str">
        <f t="shared" si="5"/>
        <v>11:00</v>
      </c>
      <c r="U9" s="48" t="str">
        <f t="shared" si="5"/>
        <v>11:00</v>
      </c>
      <c r="V9" s="48" t="str">
        <f t="shared" si="5"/>
        <v>11:00</v>
      </c>
      <c r="W9" s="48" t="str">
        <f t="shared" si="5"/>
        <v>11:00</v>
      </c>
      <c r="X9" s="48" t="str">
        <f t="shared" si="5"/>
        <v>OFF</v>
      </c>
      <c r="Y9" s="48" t="str">
        <f t="shared" si="5"/>
        <v>OFF</v>
      </c>
      <c r="Z9" s="48" t="str">
        <f t="shared" si="5"/>
        <v>11:00</v>
      </c>
      <c r="AA9" s="48" t="str">
        <f t="shared" si="5"/>
        <v>11:00</v>
      </c>
      <c r="AB9" s="48" t="str">
        <f t="shared" si="5"/>
        <v>11:00</v>
      </c>
      <c r="AC9" s="48" t="str">
        <f t="shared" si="5"/>
        <v>11:00</v>
      </c>
      <c r="AD9" s="48" t="str">
        <f t="shared" si="5"/>
        <v>11:00</v>
      </c>
      <c r="AE9" s="48" t="str">
        <f t="shared" si="5"/>
        <v>OFF</v>
      </c>
      <c r="AF9" s="48" t="str">
        <f t="shared" si="5"/>
        <v>OFF</v>
      </c>
      <c r="AG9" s="48" t="str">
        <f t="shared" si="5"/>
        <v>11:00</v>
      </c>
      <c r="AH9" s="48" t="str">
        <f t="shared" si="5"/>
        <v>11:00</v>
      </c>
      <c r="AI9" s="48" t="str">
        <f t="shared" si="5"/>
        <v>11:00</v>
      </c>
      <c r="AJ9" s="48" t="str">
        <f t="shared" si="5"/>
        <v>11:00</v>
      </c>
      <c r="AK9" s="48" t="str">
        <f t="shared" si="5"/>
        <v>11:00</v>
      </c>
      <c r="AL9" s="48" t="str">
        <f t="shared" si="5"/>
        <v>OFF</v>
      </c>
      <c r="AM9" s="48" t="str">
        <f t="shared" si="5"/>
        <v>OFF</v>
      </c>
      <c r="AN9" s="48" t="str">
        <f t="shared" si="5"/>
        <v>11:00</v>
      </c>
      <c r="AO9" s="103" t="str" cm="1">
        <f t="array" ref="AO9">_xlfn.LET(
    _xlpm.data,J9:AM9,
    _xlpm.counter, _xlfn.SCAN(0, _xlpm.data, _xlfn.LAMBDA(_xlpm.a,_xlpm.b, IF(_xlpm.b&lt;&gt;"OFF", _xlpm.a+1, 0))),
    IF(MAX(_xlpm.counter)&gt;=6, "X", "OK")
)</f>
        <v>OK</v>
      </c>
      <c r="AP9" s="62" t="s">
        <v>18</v>
      </c>
      <c r="AQ9" s="100">
        <f>COUNTA(J10:AM10)</f>
        <v>0</v>
      </c>
      <c r="AR9" s="98">
        <f>COUNTIF(J22:AN22, "Amber Wang")+ COUNTIF(J23:AN23, "Amber WAng")</f>
        <v>6</v>
      </c>
    </row>
    <row r="10" spans="1:44" ht="16.5" customHeight="1">
      <c r="A10" s="132"/>
      <c r="B10" s="133"/>
      <c r="C10" s="134"/>
      <c r="D10" s="149"/>
      <c r="E10" s="128" t="s">
        <v>19</v>
      </c>
      <c r="F10" s="128"/>
      <c r="G10" s="128"/>
      <c r="H10" s="128"/>
      <c r="I10" s="128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75"/>
      <c r="AO10" s="104"/>
      <c r="AP10" s="62" t="str">
        <f>IF(COUNTIFS($J$1:$AM$1, AP9, $J$9:$AM$9, "&lt;&gt;OFF")=0, "OK", "X")</f>
        <v>OK</v>
      </c>
      <c r="AQ10" s="100"/>
      <c r="AR10" s="99"/>
    </row>
    <row r="11" spans="1:44" ht="16.5" customHeight="1">
      <c r="A11" s="132" t="s">
        <v>36</v>
      </c>
      <c r="B11" s="133" t="s">
        <v>28</v>
      </c>
      <c r="C11" s="134" t="s">
        <v>23</v>
      </c>
      <c r="D11" s="149"/>
      <c r="E11" s="78" cm="1">
        <f t="array" ref="E11">SUM(COUNTIF(J11:AN11, {"*08:00*","*11:00*","*15:00*"}))+(COUNTIF(J11:AN11,{"*Half*"})*0.5)</f>
        <v>22</v>
      </c>
      <c r="F11" s="57" cm="1">
        <f t="array" ref="F11">SUMPRODUCT(ISNUMBER(FIND("OFF",J11:AN11))*1)</f>
        <v>9</v>
      </c>
      <c r="G11" s="56">
        <f xml:space="preserve"> (COUNTIF(J11:AM11,"PTO")*1
   + COUNTIF(J11:AM11,"Half-PTO")*0.5+ + COUNTIF(J11:AM11,"PTO-Half")*0.5)</f>
        <v>0</v>
      </c>
      <c r="H11" s="56">
        <f xml:space="preserve"> (COUNTIF(J11:AM11,"AL")*1
   + COUNTIF(J11:AM11,"Half-AL")*0.5+ + COUNTIF(J11:AM11,"AL-Half")*0.5)</f>
        <v>0</v>
      </c>
      <c r="I11" s="57" cm="1">
        <f t="array" ref="I11">SUMPRODUCT(ISNUMBER(FIND("LOA",J11:AM11))*1)</f>
        <v>0</v>
      </c>
      <c r="J11" s="48" t="str">
        <f>IF(
  OR(
    AND($C$11="日一", OR(J$1="Sun", J$1="Mon")),AND($C$11="六日", OR(J$1="Sun", J$1="Sat")),
    AND($C$11="五六", OR(J$1="Fri", J$1="Sat")),AND($C$11="四五", OR(J$1="Fri", J$1="Thu")),
    AND($C$11="三四", OR(J$1="Wed", J$1="Thu")),AND($C$11="二三", OR(J$1="Wed", J$1="Tue"))
  ),
  "OFF","11:00"
)</f>
        <v>11:00</v>
      </c>
      <c r="K11" s="48" t="str">
        <f>IF(
  OR(
    AND($C$11="日一", OR(K$1="Sun", K$1="Mon")),AND($C$11="六日", OR(K$1="Sun", K$1="Sat")),
    AND($C$11="五六", OR(K$1="Fri", K$1="Sat")),AND($C$11="四五", OR(K$1="Fri", K$1="Thu")),
    AND($C$11="三四", OR(K$1="Wed", K$1="Thu")),AND($C$11="二三", OR(K$1="Wed", K$1="Tue"))
  ),
  "OFF","11:00"
)</f>
        <v>11:00</v>
      </c>
      <c r="L11" s="48" t="str">
        <f>IF(
  OR(
    AND($C$11="日一", OR(L$1="Sun", L$1="Mon")),AND($C$11="六日", OR(L$1="Sun", L$1="Sat")),
    AND($C$11="五六", OR(L$1="Fri", L$1="Sat")),AND($C$11="四五", OR(L$1="Fri", L$1="Thu")),
    AND($C$11="三四", OR(L$1="Wed", L$1="Thu")),AND($C$11="二三", OR(L$1="Wed", L$1="Tue"))
  ),
  "OFF","11:00"
)</f>
        <v>OFF</v>
      </c>
      <c r="M11" s="48" t="str">
        <f>IF(
  OR(
    AND($C$11="日一", OR(M$1="Sun", M$1="Mon")),AND($C$11="六日", OR(M$1="Sun", M$1="Sat")),
    AND($C$11="五六", OR(M$1="Fri", M$1="Sat")),AND($C$11="四五", OR(M$1="Fri", M$1="Thu")),
    AND($C$11="三四", OR(M$1="Wed", M$1="Thu")),AND($C$11="二三", OR(M$1="Wed", M$1="Tue"))
  ),
  "OFF","11:00"
)</f>
        <v>OFF</v>
      </c>
      <c r="N11" s="48" t="s">
        <v>30</v>
      </c>
      <c r="O11" s="48" t="str">
        <f t="shared" ref="O11:T11" si="6">IF(
  OR(
    AND($C$11="日一", OR(O$1="Sun", O$1="Mon")),AND($C$11="六日", OR(O$1="Sun", O$1="Sat")),
    AND($C$11="五六", OR(O$1="Fri", O$1="Sat")),AND($C$11="四五", OR(O$1="Fri", O$1="Thu")),
    AND($C$11="三四", OR(O$1="Wed", O$1="Thu")),AND($C$11="二三", OR(O$1="Wed", O$1="Tue"))
  ),
  "OFF","11:00"
)</f>
        <v>11:00</v>
      </c>
      <c r="P11" s="48" t="str">
        <f t="shared" si="6"/>
        <v>11:00</v>
      </c>
      <c r="Q11" s="48" t="str">
        <f t="shared" si="6"/>
        <v>11:00</v>
      </c>
      <c r="R11" s="48" t="str">
        <f t="shared" ref="R11" si="7">IF(
  OR(
    AND($C$5="二三", OR(R$1="Tue", R$1="Wed")),AND($C$5="三四", OR(R$1="Wed", R$1="Thu")),AND($C$5="四五", OR(R$1="Fri", R$1="Thu")),AND($C$5="日一", OR(R$1="Sun", R$1="Mon")),
    AND($C$5="五六", OR(R$1="Fri", R$1="Sat")), AND($C$5="六日", OR(R$1="Sun", R$1="Sat"))
  ),
  "OFF",
  "08:00"
)</f>
        <v>08:00</v>
      </c>
      <c r="S11" s="48" t="str">
        <f t="shared" si="6"/>
        <v>OFF</v>
      </c>
      <c r="T11" s="48" t="str">
        <f t="shared" si="6"/>
        <v>OFF</v>
      </c>
      <c r="U11" s="48" t="s">
        <v>30</v>
      </c>
      <c r="V11" s="48" t="str">
        <f t="shared" ref="V11:AA11" si="8">IF(
  OR(
    AND($C$11="日一", OR(V$1="Sun", V$1="Mon")),AND($C$11="六日", OR(V$1="Sun", V$1="Sat")),
    AND($C$11="五六", OR(V$1="Fri", V$1="Sat")),AND($C$11="四五", OR(V$1="Fri", V$1="Thu")),
    AND($C$11="三四", OR(V$1="Wed", V$1="Thu")),AND($C$11="二三", OR(V$1="Wed", V$1="Tue"))
  ),
  "OFF","11:00"
)</f>
        <v>11:00</v>
      </c>
      <c r="W11" s="48" t="str">
        <f t="shared" si="8"/>
        <v>11:00</v>
      </c>
      <c r="X11" s="48" t="str">
        <f t="shared" si="8"/>
        <v>11:00</v>
      </c>
      <c r="Y11" s="48" t="str">
        <f t="shared" si="8"/>
        <v>11:00</v>
      </c>
      <c r="Z11" s="48" t="str">
        <f t="shared" si="8"/>
        <v>OFF</v>
      </c>
      <c r="AA11" s="48" t="str">
        <f t="shared" si="8"/>
        <v>OFF</v>
      </c>
      <c r="AB11" s="48" t="s">
        <v>30</v>
      </c>
      <c r="AC11" s="48" t="str">
        <f t="shared" ref="AC11:AH11" si="9">IF(
  OR(
    AND($C$11="日一", OR(AC$1="Sun", AC$1="Mon")),AND($C$11="六日", OR(AC$1="Sun", AC$1="Sat")),
    AND($C$11="五六", OR(AC$1="Fri", AC$1="Sat")),AND($C$11="四五", OR(AC$1="Fri", AC$1="Thu")),
    AND($C$11="三四", OR(AC$1="Wed", AC$1="Thu")),AND($C$11="二三", OR(AC$1="Wed", AC$1="Tue"))
  ),
  "OFF","11:00"
)</f>
        <v>11:00</v>
      </c>
      <c r="AD11" s="48" t="str">
        <f t="shared" si="9"/>
        <v>11:00</v>
      </c>
      <c r="AE11" s="48" t="str">
        <f t="shared" si="9"/>
        <v>11:00</v>
      </c>
      <c r="AF11" s="48" t="str">
        <f t="shared" si="9"/>
        <v>11:00</v>
      </c>
      <c r="AG11" s="48" t="str">
        <f t="shared" si="9"/>
        <v>OFF</v>
      </c>
      <c r="AH11" s="48" t="str">
        <f t="shared" si="9"/>
        <v>OFF</v>
      </c>
      <c r="AI11" s="48" t="s">
        <v>30</v>
      </c>
      <c r="AJ11" s="48" t="str">
        <f>IF(
  OR(
    AND($C$11="日一", OR(AJ$1="Sun", AJ$1="Mon")),AND($C$11="六日", OR(AJ$1="Sun", AJ$1="Sat")),
    AND($C$11="五六", OR(AJ$1="Fri", AJ$1="Sat")),AND($C$11="四五", OR(AJ$1="Fri", AJ$1="Thu")),
    AND($C$11="三四", OR(AJ$1="Wed", AJ$1="Thu")),AND($C$11="二三", OR(AJ$1="Wed", AJ$1="Tue"))
  ),
  "OFF","11:00"
)</f>
        <v>11:00</v>
      </c>
      <c r="AK11" s="48" t="str">
        <f t="shared" ref="AK11:AL11" si="10">IF(
  OR(
    AND($C$11="日一", OR(AK$1="Sun", AK$1="Mon")),AND($C$11="六日", OR(AK$1="Sun", AK$1="Sat")),
    AND($C$11="五六", OR(AK$1="Fri", AK$1="Sat")),AND($C$11="四五", OR(AK$1="Fri", AK$1="Thu")),
    AND($C$11="三四", OR(AK$1="Wed", AK$1="Thu")),AND($C$11="二三", OR(AK$1="Wed", AK$1="Tue"))
  ),
  "OFF","11:00"
)</f>
        <v>11:00</v>
      </c>
      <c r="AL11" s="48" t="str">
        <f t="shared" si="10"/>
        <v>11:00</v>
      </c>
      <c r="AM11" s="48" t="str">
        <f>IF(
  OR(
    AND($C$11="日一", OR(AM$1="Sun", AM$1="Mon")),AND($C$11="六日", OR(AM$1="Sun", AM$1="Sat")),
    AND($C$11="五六", OR(AM$1="Fri", AM$1="Sat")),AND($C$11="四五", OR(AM$1="Fri", AM$1="Thu")),
    AND($C$11="三四", OR(AM$1="Wed", AM$1="Thu")),AND($C$11="二三", OR(AM$1="Wed", AM$1="Tue"))
  ),
  "OFF","11:00"
)</f>
        <v>11:00</v>
      </c>
      <c r="AN11" s="48" t="str">
        <f>IF(
  OR(
    AND($C$11="日一", OR(AN$1="Sun", AN$1="Mon")),AND($C$11="六日", OR(AN$1="Sun", AN$1="Sat")),
    AND($C$11="五六", OR(AN$1="Fri", AN$1="Sat")),AND($C$11="四五", OR(AN$1="Fri", AN$1="Thu")),
    AND($C$11="三四", OR(AN$1="Wed", AN$1="Thu")),AND($C$11="二三", OR(AN$1="Wed", AN$1="Tue"))
  ),
  "OFF","11:00"
)</f>
        <v>OFF</v>
      </c>
      <c r="AO11" s="103" t="str" cm="1">
        <f t="array" ref="AO11">_xlfn.LET(
    _xlpm.data,J11:AM11,
    _xlpm.counter, _xlfn.SCAN(0, _xlpm.data, _xlfn.LAMBDA(_xlpm.a,_xlpm.b, IF(_xlpm.b&lt;&gt;"OFF", _xlpm.a+1, 0))),
    IF(MAX(_xlpm.counter)&gt;=6, "X", "OK")
)</f>
        <v>OK</v>
      </c>
      <c r="AP11" s="62" t="s">
        <v>24</v>
      </c>
      <c r="AQ11" s="100">
        <f>COUNTA(J12:AM12)</f>
        <v>1</v>
      </c>
      <c r="AR11" s="98">
        <f>COUNTIF(J22:AM22, "Alex Chen")+ COUNTIF(J23:AM23, "Alex Chen")</f>
        <v>3</v>
      </c>
    </row>
    <row r="12" spans="1:44" ht="16.5" customHeight="1">
      <c r="A12" s="132"/>
      <c r="B12" s="133"/>
      <c r="C12" s="134"/>
      <c r="D12" s="150"/>
      <c r="E12" s="128" t="s">
        <v>19</v>
      </c>
      <c r="F12" s="128"/>
      <c r="G12" s="128"/>
      <c r="H12" s="128"/>
      <c r="I12" s="128"/>
      <c r="J12" s="49"/>
      <c r="K12" s="49"/>
      <c r="L12" s="49"/>
      <c r="M12" s="49"/>
      <c r="N12" s="49"/>
      <c r="O12" s="49"/>
      <c r="P12" s="49"/>
      <c r="Q12" s="49"/>
      <c r="R12" s="49" t="s">
        <v>21</v>
      </c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75"/>
      <c r="AO12" s="104"/>
      <c r="AP12" s="62" t="str">
        <f>IF(COUNTIFS($J$1:$AM$1, AP11, $J$11:$AM$11, "&lt;&gt;OFF")=0, "OK", "X")</f>
        <v>OK</v>
      </c>
      <c r="AQ12" s="100"/>
      <c r="AR12" s="99"/>
    </row>
    <row r="13" spans="1:44" ht="16.5" customHeight="1">
      <c r="A13" s="115" t="s">
        <v>22</v>
      </c>
      <c r="B13" s="116" t="s">
        <v>32</v>
      </c>
      <c r="C13" s="118" t="s">
        <v>33</v>
      </c>
      <c r="D13" s="129" t="s">
        <v>34</v>
      </c>
      <c r="E13" s="58" cm="1">
        <f t="array" ref="E13">SUM(COUNTIF(J13:AN13, {"*08:00*","*11:00*","*15:00*"}))+(COUNTIF(J13:AN13,{"*Half*"})*0.5)</f>
        <v>22</v>
      </c>
      <c r="F13" s="59" cm="1">
        <f t="array" ref="F13">SUMPRODUCT(ISNUMBER(FIND("OFF",J13:AN13))*1)</f>
        <v>9</v>
      </c>
      <c r="G13" s="58">
        <f xml:space="preserve"> (COUNTIF(J13:AM13,"PTO")*1
   + COUNTIF(J13:AM13,"Half-PTO")*0.5+ + COUNTIF(J13:AM13,"PTO-Half")*0.5)</f>
        <v>0</v>
      </c>
      <c r="H13" s="58">
        <f xml:space="preserve"> (COUNTIF(J13:AM13,"AL")*1
   + COUNTIF(J13:AM13,"Half-AL")*0.5+ + COUNTIF(J13:AM13,"AL-Half")*0.5)</f>
        <v>0</v>
      </c>
      <c r="I13" s="59" cm="1">
        <f t="array" ref="I13">SUMPRODUCT(ISNUMBER(FIND("LOA",J13:AM13))*1)</f>
        <v>0</v>
      </c>
      <c r="J13" s="48" t="s">
        <v>15</v>
      </c>
      <c r="K13" s="48" t="str">
        <f t="shared" ref="K13:AN13" si="11">IF(  OR(AND($C$13="六日", OR(K$1="Sun", K$1="Sat")),
    AND($C$13="日一", OR(K$1="Sun", K$1="Mon")),AND($C$13="二三", OR(K$1="Tue", K$1="Wed")),AND($C$13="一二", OR(K$1="Tue", K$1="Mon")),
    AND($C$13="五六", OR(K$1="Fri", K$1="Sat")), AND($C$13="四五", OR(K$1="Fri", K$1="Thu")),
    AND($C$13="三四", OR(K$1="Wed", K$1="Thu"))
  ),
  "OFF",
  "15:00"
)</f>
        <v>15:00</v>
      </c>
      <c r="L13" s="48" t="str">
        <f t="shared" si="11"/>
        <v>15:00</v>
      </c>
      <c r="M13" s="48" t="str">
        <f t="shared" si="11"/>
        <v>15:00</v>
      </c>
      <c r="N13" s="48" t="str">
        <f t="shared" si="11"/>
        <v>OFF</v>
      </c>
      <c r="O13" s="48" t="str">
        <f t="shared" si="11"/>
        <v>OFF</v>
      </c>
      <c r="P13" s="48" t="str">
        <f t="shared" si="11"/>
        <v>15:00</v>
      </c>
      <c r="Q13" s="48" t="str">
        <f t="shared" si="11"/>
        <v>15:00</v>
      </c>
      <c r="R13" s="48" t="str">
        <f t="shared" si="11"/>
        <v>15:00</v>
      </c>
      <c r="S13" s="48" t="str">
        <f t="shared" si="11"/>
        <v>15:00</v>
      </c>
      <c r="T13" s="48" t="str">
        <f t="shared" si="11"/>
        <v>15:00</v>
      </c>
      <c r="U13" s="48" t="str">
        <f t="shared" si="11"/>
        <v>OFF</v>
      </c>
      <c r="V13" s="48" t="str">
        <f t="shared" si="11"/>
        <v>OFF</v>
      </c>
      <c r="W13" s="48" t="str">
        <f t="shared" si="11"/>
        <v>15:00</v>
      </c>
      <c r="X13" s="48" t="str">
        <f t="shared" si="11"/>
        <v>15:00</v>
      </c>
      <c r="Y13" s="48" t="str">
        <f t="shared" si="11"/>
        <v>15:00</v>
      </c>
      <c r="Z13" s="48" t="str">
        <f t="shared" si="11"/>
        <v>15:00</v>
      </c>
      <c r="AA13" s="48" t="str">
        <f t="shared" si="11"/>
        <v>15:00</v>
      </c>
      <c r="AB13" s="48" t="str">
        <f t="shared" si="11"/>
        <v>OFF</v>
      </c>
      <c r="AC13" s="48" t="str">
        <f t="shared" si="11"/>
        <v>OFF</v>
      </c>
      <c r="AD13" s="48" t="str">
        <f t="shared" si="11"/>
        <v>15:00</v>
      </c>
      <c r="AE13" s="48" t="str">
        <f t="shared" si="11"/>
        <v>15:00</v>
      </c>
      <c r="AF13" s="48" t="str">
        <f t="shared" si="11"/>
        <v>15:00</v>
      </c>
      <c r="AG13" s="48" t="str">
        <f t="shared" si="11"/>
        <v>15:00</v>
      </c>
      <c r="AH13" s="48" t="str">
        <f t="shared" si="11"/>
        <v>15:00</v>
      </c>
      <c r="AI13" s="48" t="str">
        <f t="shared" si="11"/>
        <v>OFF</v>
      </c>
      <c r="AJ13" s="48" t="str">
        <f t="shared" si="11"/>
        <v>OFF</v>
      </c>
      <c r="AK13" s="48" t="str">
        <f t="shared" si="11"/>
        <v>15:00</v>
      </c>
      <c r="AL13" s="48" t="str">
        <f t="shared" si="11"/>
        <v>15:00</v>
      </c>
      <c r="AM13" s="48" t="str">
        <f t="shared" si="11"/>
        <v>15:00</v>
      </c>
      <c r="AN13" s="48" t="str">
        <f t="shared" si="11"/>
        <v>15:00</v>
      </c>
      <c r="AO13" s="103" t="str" cm="1">
        <f t="array" ref="AO13">_xlfn.LET(
    _xlpm.data,J13:AM13,
    _xlpm.counter, _xlfn.SCAN(0, _xlpm.data, _xlfn.LAMBDA(_xlpm.a,_xlpm.b, IF(_xlpm.b&lt;&gt;"OFF", _xlpm.a+1, 0))),
    IF(MAX(_xlpm.counter)&gt;=6, "X", "OK")
)</f>
        <v>OK</v>
      </c>
      <c r="AP13" s="62" t="s">
        <v>35</v>
      </c>
      <c r="AQ13" s="100">
        <f>COUNTA(J14:AM14)</f>
        <v>0</v>
      </c>
      <c r="AR13" s="98">
        <f>COUNTIF(J22:AN22, "Jacky Lee")+ COUNTIF(J23:AN23, "Jacky Lee")</f>
        <v>6</v>
      </c>
    </row>
    <row r="14" spans="1:44" ht="16.5" customHeight="1">
      <c r="A14" s="115"/>
      <c r="B14" s="117"/>
      <c r="C14" s="118"/>
      <c r="D14" s="130"/>
      <c r="E14" s="128" t="s">
        <v>19</v>
      </c>
      <c r="F14" s="128"/>
      <c r="G14" s="128"/>
      <c r="H14" s="128"/>
      <c r="I14" s="128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75"/>
      <c r="AO14" s="104"/>
      <c r="AP14" s="62" t="str">
        <f>IF(COUNTIFS($J$1:$AM$1, AP13, $J$13:$AM$13, "&lt;&gt;OFF")=0, "OK", "X")</f>
        <v>OK</v>
      </c>
      <c r="AQ14" s="100"/>
      <c r="AR14" s="99"/>
    </row>
    <row r="15" spans="1:44" ht="16.5" customHeight="1">
      <c r="A15" s="115" t="s">
        <v>38</v>
      </c>
      <c r="B15" s="116" t="s">
        <v>32</v>
      </c>
      <c r="C15" s="118" t="s">
        <v>13</v>
      </c>
      <c r="D15" s="130"/>
      <c r="E15" s="58" cm="1">
        <f t="array" ref="E15">SUM(COUNTIF(J15:AN15, {"*08:00*","*11:00*","*15:00*"}))+(COUNTIF(J15:AN15,{"*Half*"})*0.5)</f>
        <v>22</v>
      </c>
      <c r="F15" s="59" cm="1">
        <f t="array" ref="F15">SUMPRODUCT(ISNUMBER(FIND("OFF",J15:AN15))*1)</f>
        <v>9</v>
      </c>
      <c r="G15" s="58">
        <f xml:space="preserve"> (COUNTIF(J15:AM15,"PTO")*1
   + COUNTIF(J15:AM15,"Half-PTO")*0.5+ + COUNTIF(J15:AM15,"PTO-Half")*0.5)</f>
        <v>0</v>
      </c>
      <c r="H15" s="58">
        <f xml:space="preserve"> (COUNTIF(J15:AM15,"AL")*1
   + COUNTIF(J15:AM15,"Half-AL")*0.5+ + COUNTIF(J15:AM15,"AL-Half")*0.5)</f>
        <v>0</v>
      </c>
      <c r="I15" s="59" cm="1">
        <f t="array" ref="I15">SUMPRODUCT(ISNUMBER(FIND("LOA",J15:AM15))*1)</f>
        <v>0</v>
      </c>
      <c r="J15" s="48" t="str">
        <f>IF(
  OR(AND($C$15="一二", OR(J$1="Tue", J$1="Mon")),
    AND($C$15="日一", OR(J$1="Sun", J$1="Mon")),AND($C$15="四五", OR(J$1="Fri", J$1="Thu")),
    AND($C$15="五六", OR(J$1="Fri", J$1="Sat")), AND($C$15="二三", OR(J$1="Tue", J$1="Wed")),
    AND($C$15="三四", OR(J$1="Wed", J$1="Thu"))
  ),
  "OFF",
  "15:00"
)</f>
        <v>OFF</v>
      </c>
      <c r="K15" s="48" t="str">
        <f>IF(
  OR(AND($C$15="一二", OR(K$1="Tue", K$1="Mon")),
    AND($C$15="日一", OR(K$1="Sun", K$1="Mon")),AND($C$15="四五", OR(K$1="Fri", K$1="Thu")),
    AND($C$15="五六", OR(K$1="Fri", K$1="Sat")), AND($C$15="二三", OR(K$1="Tue", K$1="Wed")),
    AND($C$15="三四", OR(K$1="Wed", K$1="Thu"))
  ),
  "OFF",
  "15:00"
)</f>
        <v>OFF</v>
      </c>
      <c r="L15" s="48" t="s">
        <v>37</v>
      </c>
      <c r="M15" s="48" t="str">
        <f t="shared" ref="M15:Y15" si="12">IF(
  OR(AND($C$15="一二", OR(M$1="Tue", M$1="Mon")),
    AND($C$15="日一", OR(M$1="Sun", M$1="Mon")),AND($C$15="四五", OR(M$1="Fri", M$1="Thu")),
    AND($C$15="五六", OR(M$1="Fri", M$1="Sat")), AND($C$15="二三", OR(M$1="Tue", M$1="Wed")),
    AND($C$15="三四", OR(M$1="Wed", M$1="Thu"))
  ),
  "OFF",
  "15:00"
)</f>
        <v>15:00</v>
      </c>
      <c r="N15" s="48" t="str">
        <f t="shared" si="12"/>
        <v>15:00</v>
      </c>
      <c r="O15" s="48" t="str">
        <f t="shared" si="12"/>
        <v>15:00</v>
      </c>
      <c r="P15" s="48" t="str">
        <f t="shared" si="12"/>
        <v>15:00</v>
      </c>
      <c r="Q15" s="48" t="str">
        <f t="shared" si="12"/>
        <v>OFF</v>
      </c>
      <c r="R15" s="48" t="str">
        <f t="shared" si="12"/>
        <v>OFF</v>
      </c>
      <c r="S15" s="48" t="str">
        <f t="shared" si="12"/>
        <v>15:00</v>
      </c>
      <c r="T15" s="48" t="str">
        <f t="shared" si="12"/>
        <v>15:00</v>
      </c>
      <c r="U15" s="48" t="str">
        <f t="shared" si="12"/>
        <v>15:00</v>
      </c>
      <c r="V15" s="48" t="str">
        <f t="shared" si="12"/>
        <v>15:00</v>
      </c>
      <c r="W15" s="48" t="str">
        <f t="shared" si="12"/>
        <v>15:00</v>
      </c>
      <c r="X15" s="48" t="str">
        <f t="shared" si="12"/>
        <v>OFF</v>
      </c>
      <c r="Y15" s="48" t="str">
        <f t="shared" si="12"/>
        <v>OFF</v>
      </c>
      <c r="Z15" s="48" t="s">
        <v>37</v>
      </c>
      <c r="AA15" s="48" t="str">
        <f t="shared" ref="AA15:AN15" si="13">IF(
  OR(AND($C$15="一二", OR(AA$1="Tue", AA$1="Mon")),
    AND($C$15="日一", OR(AA$1="Sun", AA$1="Mon")),AND($C$15="四五", OR(AA$1="Fri", AA$1="Thu")),
    AND($C$15="五六", OR(AA$1="Fri", AA$1="Sat")), AND($C$15="二三", OR(AA$1="Tue", AA$1="Wed")),
    AND($C$15="三四", OR(AA$1="Wed", AA$1="Thu"))
  ),
  "OFF",
  "15:00"
)</f>
        <v>15:00</v>
      </c>
      <c r="AB15" s="48" t="str">
        <f t="shared" si="13"/>
        <v>15:00</v>
      </c>
      <c r="AC15" s="48" t="str">
        <f t="shared" si="13"/>
        <v>15:00</v>
      </c>
      <c r="AD15" s="48" t="str">
        <f t="shared" si="13"/>
        <v>15:00</v>
      </c>
      <c r="AE15" s="48" t="str">
        <f t="shared" si="13"/>
        <v>OFF</v>
      </c>
      <c r="AF15" s="48" t="str">
        <f t="shared" si="13"/>
        <v>OFF</v>
      </c>
      <c r="AG15" s="48" t="str">
        <f t="shared" si="13"/>
        <v>15:00</v>
      </c>
      <c r="AH15" s="48" t="str">
        <f t="shared" si="13"/>
        <v>15:00</v>
      </c>
      <c r="AI15" s="48" t="str">
        <f t="shared" si="13"/>
        <v>15:00</v>
      </c>
      <c r="AJ15" s="48" t="str">
        <f t="shared" si="13"/>
        <v>15:00</v>
      </c>
      <c r="AK15" s="48" t="str">
        <f t="shared" si="13"/>
        <v>15:00</v>
      </c>
      <c r="AL15" s="48" t="str">
        <f t="shared" si="13"/>
        <v>OFF</v>
      </c>
      <c r="AM15" s="48" t="s">
        <v>37</v>
      </c>
      <c r="AN15" s="48" t="str">
        <f t="shared" si="13"/>
        <v>15:00</v>
      </c>
      <c r="AO15" s="103" t="str" cm="1">
        <f t="array" ref="AO15">_xlfn.LET(
    _xlpm.data,J15:AM15,
    _xlpm.counter, _xlfn.SCAN(0, _xlpm.data, _xlfn.LAMBDA(_xlpm.a,_xlpm.b, IF(_xlpm.b&lt;&gt;"OFF", _xlpm.a+1, 0))),
    IF(MAX(_xlpm.counter)&gt;=6, "X", "OK")
)</f>
        <v>OK</v>
      </c>
      <c r="AP15" s="62" t="s">
        <v>110</v>
      </c>
      <c r="AQ15" s="100">
        <f>COUNTA(J16:AM16)</f>
        <v>0</v>
      </c>
      <c r="AR15" s="98">
        <f>COUNTIF(J22:AM22, "Rex Liao")+ COUNTIF(J23:AM23, "Rex Liao")</f>
        <v>3</v>
      </c>
    </row>
    <row r="16" spans="1:44" ht="16.5" customHeight="1">
      <c r="A16" s="115"/>
      <c r="B16" s="117"/>
      <c r="C16" s="118"/>
      <c r="D16" s="130"/>
      <c r="E16" s="128" t="s">
        <v>19</v>
      </c>
      <c r="F16" s="128"/>
      <c r="G16" s="128"/>
      <c r="H16" s="128"/>
      <c r="I16" s="128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75"/>
      <c r="AO16" s="104"/>
      <c r="AP16" s="62" t="str">
        <f>IF(COUNTIFS($J$1:$AM$1, AP15, $J$15:$AM$15, "&lt;&gt;OFF")=0, "OK", "X")</f>
        <v>OK</v>
      </c>
      <c r="AQ16" s="100"/>
      <c r="AR16" s="99"/>
    </row>
    <row r="17" spans="1:44" ht="16.5" customHeight="1">
      <c r="A17" s="115" t="s">
        <v>31</v>
      </c>
      <c r="B17" s="116" t="s">
        <v>32</v>
      </c>
      <c r="C17" s="118" t="s">
        <v>39</v>
      </c>
      <c r="D17" s="130"/>
      <c r="E17" s="58" cm="1">
        <f t="array" ref="E17">SUM(COUNTIF(J17:AN17, {"*08:00*","*11:00*","*15:00*"}))+(COUNTIF(J17:AN17,{"*Half*"})*0.5)</f>
        <v>20</v>
      </c>
      <c r="F17" s="59" cm="1">
        <f t="array" ref="F17">SUMPRODUCT(ISNUMBER(FIND("OFF",J17:AN17))*1)</f>
        <v>9</v>
      </c>
      <c r="G17" s="58">
        <f xml:space="preserve"> (COUNTIF(J17:AM17,"PTO")*1
   + COUNTIF(J17:AM17,"Half-PTO")*0.5+ + COUNTIF(J17:AM17,"PTO-Half")*0.5)</f>
        <v>2</v>
      </c>
      <c r="H17" s="58">
        <f xml:space="preserve"> (COUNTIF(J17:AM17,"AL")*1
   + COUNTIF(J17:AM17,"Half-AL")*0.5+ + COUNTIF(J17:AM17,"AL-Half")*0.5)</f>
        <v>0</v>
      </c>
      <c r="I17" s="59" cm="1">
        <f t="array" ref="I17">SUMPRODUCT(ISNUMBER(FIND("LOA",J17:AM17))*1)</f>
        <v>0</v>
      </c>
      <c r="J17" s="48" t="str">
        <f>IF(
  OR(
    AND($C$17="日一", OR(J$1="Sun", J$1="Mon")),AND($C$17="六日", OR(J$1="Sun", J$1="Sat")),
    AND($C$17="五六", OR(J$1="Fri", J$1="Sat")),AND($C$17="四五", OR(J$1="Fri", J$1="Thu")),
    AND($C$17="三四", OR(J$1="Wed", J$1="Thu")),AND($C$17="二三", OR(J$1="Tue", J$1="Wed")),
  ),
  "OFF",
  "15:00"
)</f>
        <v>15:00</v>
      </c>
      <c r="K17" s="48" t="str">
        <f>IF(
  OR(
    AND($C$17="日一", OR(K$1="Sun", K$1="Mon")),AND($C$17="六日", OR(K$1="Sun", K$1="Sat")),
    AND($C$17="五六", OR(K$1="Fri", K$1="Sat")),AND($C$17="四五", OR(K$1="Fri", K$1="Thu")),
    AND($C$17="三四", OR(K$1="Wed", K$1="Thu")),AND($C$17="二三", OR(K$1="Tue", K$1="Wed")),
  ),
  "OFF",
  "15:00"
)</f>
        <v>15:00</v>
      </c>
      <c r="L17" s="48" t="s">
        <v>15</v>
      </c>
      <c r="M17" s="48" t="str">
        <f>IF(
  OR(
    AND($C$17="日一", OR(M$1="Sun", M$1="Mon")),AND($C$17="六日", OR(M$1="Sun", M$1="Sat")),
    AND($C$17="五六", OR(M$1="Fri", M$1="Sat")),AND($C$17="四五", OR(M$1="Fri", M$1="Thu")),
    AND($C$17="三四", OR(M$1="Wed", M$1="Thu")),AND($C$17="二三", OR(M$1="Tue", M$1="Wed")),
  ),
  "OFF",
  "15:00"
)</f>
        <v>OFF</v>
      </c>
      <c r="N17" s="48" t="s">
        <v>37</v>
      </c>
      <c r="O17" s="48" t="str">
        <f t="shared" ref="O17:AK17" si="14">IF(
  OR(
    AND($C$17="日一", OR(O$1="Sun", O$1="Mon")),AND($C$17="六日", OR(O$1="Sun", O$1="Sat")),
    AND($C$17="五六", OR(O$1="Fri", O$1="Sat")),AND($C$17="四五", OR(O$1="Fri", O$1="Thu")),
    AND($C$17="三四", OR(O$1="Wed", O$1="Thu")),AND($C$17="二三", OR(O$1="Tue", O$1="Wed")),
  ),
  "OFF",
  "15:00"
)</f>
        <v>15:00</v>
      </c>
      <c r="P17" s="48" t="str">
        <f t="shared" si="14"/>
        <v>15:00</v>
      </c>
      <c r="Q17" s="48" t="str">
        <f t="shared" si="14"/>
        <v>15:00</v>
      </c>
      <c r="R17" s="48" t="str">
        <f t="shared" si="14"/>
        <v>15:00</v>
      </c>
      <c r="S17" s="48" t="str">
        <f t="shared" si="14"/>
        <v>OFF</v>
      </c>
      <c r="T17" s="48" t="str">
        <f t="shared" si="14"/>
        <v>OFF</v>
      </c>
      <c r="U17" s="48" t="str">
        <f t="shared" si="14"/>
        <v>15:00</v>
      </c>
      <c r="V17" s="48" t="str">
        <f t="shared" si="14"/>
        <v>15:00</v>
      </c>
      <c r="W17" s="48" t="str">
        <f t="shared" si="14"/>
        <v>15:00</v>
      </c>
      <c r="X17" s="48" t="str">
        <f t="shared" si="14"/>
        <v>15:00</v>
      </c>
      <c r="Y17" s="48" t="str">
        <f t="shared" si="14"/>
        <v>15:00</v>
      </c>
      <c r="Z17" s="48" t="str">
        <f t="shared" si="14"/>
        <v>OFF</v>
      </c>
      <c r="AA17" s="48" t="str">
        <f t="shared" si="14"/>
        <v>OFF</v>
      </c>
      <c r="AB17" s="48" t="str">
        <f t="shared" si="14"/>
        <v>15:00</v>
      </c>
      <c r="AC17" s="48" t="str">
        <f t="shared" si="14"/>
        <v>15:00</v>
      </c>
      <c r="AD17" s="48" t="str">
        <f t="shared" si="14"/>
        <v>15:00</v>
      </c>
      <c r="AE17" s="48" t="str">
        <f t="shared" si="14"/>
        <v>15:00</v>
      </c>
      <c r="AF17" s="48" t="str">
        <f t="shared" si="14"/>
        <v>15:00</v>
      </c>
      <c r="AG17" s="48" t="str">
        <f t="shared" si="14"/>
        <v>OFF</v>
      </c>
      <c r="AH17" s="48" t="str">
        <f t="shared" si="14"/>
        <v>OFF</v>
      </c>
      <c r="AI17" s="48" t="str">
        <f t="shared" si="14"/>
        <v>15:00</v>
      </c>
      <c r="AJ17" s="48" t="str">
        <f t="shared" si="14"/>
        <v>15:00</v>
      </c>
      <c r="AK17" s="48" t="str">
        <f t="shared" si="14"/>
        <v>15:00</v>
      </c>
      <c r="AL17" s="48" t="s">
        <v>17</v>
      </c>
      <c r="AM17" s="48" t="s">
        <v>17</v>
      </c>
      <c r="AN17" s="48" t="s">
        <v>15</v>
      </c>
      <c r="AO17" s="103" t="str" cm="1">
        <f t="array" ref="AO17">_xlfn.LET(
    _xlpm.data,J17:AM17,
    _xlpm.counter, _xlfn.SCAN(0, _xlpm.data, _xlfn.LAMBDA(_xlpm.a,_xlpm.b, IF(_xlpm.b&lt;&gt;"OFF", _xlpm.a+1, 0))),
    IF(MAX(_xlpm.counter)&gt;=6, "X", "OK")
)</f>
        <v>OK</v>
      </c>
      <c r="AP17" s="62" t="s">
        <v>24</v>
      </c>
      <c r="AQ17" s="100">
        <f>COUNTA(J18:AM18)</f>
        <v>0</v>
      </c>
      <c r="AR17" s="98">
        <f>COUNTIF(J22:AN22, "Howard Chen")+ COUNTIF(J23:AN23, "Howard Chen")</f>
        <v>10</v>
      </c>
    </row>
    <row r="18" spans="1:44" ht="16.5" customHeight="1">
      <c r="A18" s="115"/>
      <c r="B18" s="117"/>
      <c r="C18" s="118"/>
      <c r="D18" s="131"/>
      <c r="E18" s="128" t="s">
        <v>19</v>
      </c>
      <c r="F18" s="128"/>
      <c r="G18" s="128"/>
      <c r="H18" s="128"/>
      <c r="I18" s="128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75"/>
      <c r="AO18" s="104"/>
      <c r="AP18" s="62" t="str">
        <f>IF(COUNTIFS($J$1:$AM$1, AP17, $J$17:$AM$17, "&lt;&gt;OFF")=0, "OK", "X")</f>
        <v>OK</v>
      </c>
      <c r="AQ18" s="100"/>
      <c r="AR18" s="99"/>
    </row>
    <row r="19" spans="1:44" ht="16.5" customHeight="1">
      <c r="A19" s="119" t="s">
        <v>44</v>
      </c>
      <c r="B19" s="121" t="s">
        <v>131</v>
      </c>
      <c r="C19" s="123" t="s">
        <v>118</v>
      </c>
      <c r="D19" s="125">
        <v>0.70833333333333337</v>
      </c>
      <c r="E19" s="66" cm="1">
        <f t="array" ref="E19">SUM(COUNTIF(J19:AN19, {"*08:00*","*11:00*","*12:00*","*15:00*"}))+(COUNTIF(J19:AN19,{"*Half*"})*0.5)</f>
        <v>18.5</v>
      </c>
      <c r="F19" s="66" cm="1">
        <f t="array" ref="F19">SUMPRODUCT(ISNUMBER(FIND("OFF",J19:AN19))*1)</f>
        <v>9</v>
      </c>
      <c r="G19" s="65">
        <f xml:space="preserve"> (COUNTIF(J19:AM19,"PTO")*1
   + COUNTIF(J19:AM19,"Half-PTO")*0.5+ + COUNTIF(J19:AM19,"PTO-Half")*0.5)</f>
        <v>3.5</v>
      </c>
      <c r="H19" s="65">
        <f xml:space="preserve"> (COUNTIF(J19:AM19,"AL")*1
   + COUNTIF(J19:AM19,"Half-AL")*0.5+ + COUNTIF(J19:AM19,"AL-Half")*0.5)</f>
        <v>0</v>
      </c>
      <c r="I19" s="66" cm="1">
        <f t="array" ref="I19">SUMPRODUCT(ISNUMBER(FIND("LOA",J19:AM19))*1)</f>
        <v>0</v>
      </c>
      <c r="J19" s="64" t="str">
        <f>IF(  OR(    AND($C$19="六日", OR(J$1="Sun", J$1="Sat"))  ),
  "OFF",  "12:00")</f>
        <v>12:00</v>
      </c>
      <c r="K19" s="64" t="str">
        <f>IF(  OR(    AND($C$19="六日", OR(K$1="Sun", K$1="Sat"))  ),
  "OFF",  "12:00")</f>
        <v>12:00</v>
      </c>
      <c r="L19" s="64" t="str">
        <f>IF(  OR(    AND($C$19="六日", OR(L$1="Sun", L$1="Sat"))  ),
  "OFF",  "12:00")</f>
        <v>12:00</v>
      </c>
      <c r="M19" s="53" t="str">
        <f>IF(  OR(    AND($C$19="六日", OR(M$1="Sun", M$1="Sat"))  ),
  "OFF",  "12:00")</f>
        <v>OFF</v>
      </c>
      <c r="N19" s="53" t="s">
        <v>15</v>
      </c>
      <c r="O19" s="53" t="s">
        <v>115</v>
      </c>
      <c r="P19" s="53" t="str">
        <f t="shared" ref="P19:AE19" si="15">IF(  OR(    AND($C$19="六日", OR(P$1="Sun", P$1="Sat"))  ),
  "OFF",  "12:00")</f>
        <v>12:00</v>
      </c>
      <c r="Q19" s="53" t="str">
        <f t="shared" si="15"/>
        <v>12:00</v>
      </c>
      <c r="R19" s="53" t="str">
        <f t="shared" si="15"/>
        <v>12:00</v>
      </c>
      <c r="S19" s="53" t="str">
        <f t="shared" si="15"/>
        <v>12:00</v>
      </c>
      <c r="T19" s="53" t="str">
        <f t="shared" si="15"/>
        <v>OFF</v>
      </c>
      <c r="U19" s="53" t="str">
        <f t="shared" si="15"/>
        <v>OFF</v>
      </c>
      <c r="V19" s="53" t="str">
        <f t="shared" si="15"/>
        <v>12:00</v>
      </c>
      <c r="W19" s="53" t="str">
        <f t="shared" si="15"/>
        <v>12:00</v>
      </c>
      <c r="X19" s="53" t="str">
        <f t="shared" si="15"/>
        <v>12:00</v>
      </c>
      <c r="Y19" s="53" t="str">
        <f t="shared" si="15"/>
        <v>12:00</v>
      </c>
      <c r="Z19" s="53" t="str">
        <f t="shared" si="15"/>
        <v>12:00</v>
      </c>
      <c r="AA19" s="53" t="str">
        <f t="shared" si="15"/>
        <v>OFF</v>
      </c>
      <c r="AB19" s="53" t="str">
        <f t="shared" si="15"/>
        <v>OFF</v>
      </c>
      <c r="AC19" s="53" t="str">
        <f t="shared" si="15"/>
        <v>12:00</v>
      </c>
      <c r="AD19" s="53" t="str">
        <f t="shared" si="15"/>
        <v>12:00</v>
      </c>
      <c r="AE19" s="53" t="str">
        <f t="shared" si="15"/>
        <v>12:00</v>
      </c>
      <c r="AF19" s="53" t="s">
        <v>17</v>
      </c>
      <c r="AG19" s="53" t="s">
        <v>15</v>
      </c>
      <c r="AH19" s="53" t="str">
        <f>IF(  OR(    AND($C$19="六日", OR(AH$1="Sun", AH$1="Sat"))  ),
  "OFF",  "12:00")</f>
        <v>OFF</v>
      </c>
      <c r="AI19" s="53" t="str">
        <f>IF(  OR(    AND($C$19="六日", OR(AI$1="Sun", AI$1="Sat"))  ),
  "OFF",  "12:00")</f>
        <v>OFF</v>
      </c>
      <c r="AJ19" s="53" t="s">
        <v>5</v>
      </c>
      <c r="AK19" s="53" t="s">
        <v>5</v>
      </c>
      <c r="AL19" s="53" t="str">
        <f>IF(  OR(    AND($C$19="六日", OR(AL$1="Sun", AL$1="Sat"))  ),
  "OFF",  "12:00")</f>
        <v>12:00</v>
      </c>
      <c r="AM19" s="53" t="str">
        <f>IF(  OR(    AND($C$19="六日", OR(AM$1="Sun", AM$1="Sat"))  ),
  "OFF",  "12:00")</f>
        <v>12:00</v>
      </c>
      <c r="AN19" s="53" t="str">
        <f>IF(  OR(    AND($C$19="六日", OR(AN$1="Sun", AN$1="Sat"))  ),
  "OFF",  "12:00")</f>
        <v>12:00</v>
      </c>
      <c r="AO19" s="103" t="str" cm="1">
        <f t="array" ref="AO19">_xlfn.LET(
    _xlpm.data,J19:AM19,
    _xlpm.counter, _xlfn.SCAN(0, _xlpm.data, _xlfn.LAMBDA(_xlpm.a,_xlpm.b, IF(_xlpm.b&lt;&gt;"OFF", _xlpm.a+1, 0))),
    IF(MAX(_xlpm.counter)&gt;=6, "X", "OK")
)</f>
        <v>OK</v>
      </c>
      <c r="AP19" s="62" t="s">
        <v>129</v>
      </c>
      <c r="AQ19" s="100"/>
      <c r="AR19" s="98">
        <f>COUNTIF(J22:AN22, "Molly Song")+ COUNTIF(J23:AN23, "Molly Song")</f>
        <v>4</v>
      </c>
    </row>
    <row r="20" spans="1:44" ht="16.5" customHeight="1">
      <c r="A20" s="120"/>
      <c r="B20" s="122"/>
      <c r="C20" s="124"/>
      <c r="D20" s="126"/>
      <c r="E20" s="127" t="s">
        <v>19</v>
      </c>
      <c r="F20" s="127"/>
      <c r="G20" s="127"/>
      <c r="H20" s="127"/>
      <c r="I20" s="127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1"/>
      <c r="AO20" s="104"/>
      <c r="AP20" s="62" t="str">
        <f>IF(COUNTIFS($J$1:$AM$1, AP19, $J$19:$AM$19, "&lt;&gt;OFF")=0, "OK", "X")</f>
        <v>OK</v>
      </c>
      <c r="AQ20" s="100"/>
      <c r="AR20" s="99"/>
    </row>
    <row r="21" spans="1:44" ht="17.399999999999999" hidden="1">
      <c r="A21" s="111"/>
      <c r="B21" s="112"/>
      <c r="C21" s="112"/>
      <c r="D21" s="112"/>
      <c r="E21" s="113" t="s">
        <v>40</v>
      </c>
      <c r="F21" s="113"/>
      <c r="G21" s="113"/>
      <c r="H21" s="114"/>
      <c r="I21" s="114"/>
      <c r="J21" s="82" cm="1">
        <f t="array" ref="J21">IF(J1="", "", _xlfn.SWITCH(J1, "Sat", J27-3, "Sun", J27-3, "Mon", J27-6, J27-5))</f>
        <v>2</v>
      </c>
      <c r="K21" s="82" cm="1">
        <f t="array" ref="K21">IF(K1="", "", _xlfn.SWITCH(K1, "Sat", K27-3, "Sun", K27-3, "Mon", K27-6, K27-5))</f>
        <v>1</v>
      </c>
      <c r="L21" s="82" cm="1">
        <f t="array" ref="L21">IF(L1="", "", _xlfn.SWITCH(L1, "Sat", L27-3, "Sun", L27-3, "Mon", L27-6, L27-5))</f>
        <v>0</v>
      </c>
      <c r="M21" s="82" cm="1">
        <f t="array" ref="M21">IF(M1="", "", _xlfn.SWITCH(M1, "Sat", M27-3, "Sun", M27-3, "Mon", M27-6, M27-5))</f>
        <v>1</v>
      </c>
      <c r="N21" s="82" cm="1">
        <f t="array" ref="N21">IF(N1="", "", _xlfn.SWITCH(N1, "Sat", N27-3, "Sun", N27-3, "Mon", N27-6, N27-5))</f>
        <v>3</v>
      </c>
      <c r="O21" s="82" cm="1">
        <f t="array" ref="O21">IF(O1="", "", _xlfn.SWITCH(O1, "Sat", O27-3, "Sun", O27-3, "Mon", O27-6, O27-5))</f>
        <v>0</v>
      </c>
      <c r="P21" s="82" cm="1">
        <f t="array" ref="P21">IF(P1="", "", _xlfn.SWITCH(P1, "Sat", P27-3, "Sun", P27-3, "Mon", P27-6, P27-5))</f>
        <v>4</v>
      </c>
      <c r="Q21" s="82" cm="1">
        <f t="array" ref="Q21">IF(Q1="", "", _xlfn.SWITCH(Q1, "Sat", Q27-3, "Sun", Q27-3, "Mon", Q27-6, Q27-5))</f>
        <v>1</v>
      </c>
      <c r="R21" s="82" cm="1">
        <f t="array" ref="R21">IF(R1="", "", _xlfn.SWITCH(R1, "Sat", R27-3, "Sun", R27-3, "Mon", R27-6, R27-5))</f>
        <v>0</v>
      </c>
      <c r="S21" s="82" cm="1">
        <f t="array" ref="S21">IF(S1="", "", _xlfn.SWITCH(S1, "Sat", S27-3, "Sun", S27-3, "Mon", S27-6, S27-5))</f>
        <v>1</v>
      </c>
      <c r="T21" s="82" cm="1">
        <f t="array" ref="T21">IF(T1="", "", _xlfn.SWITCH(T1, "Sat", T27-3, "Sun", T27-3, "Mon", T27-6, T27-5))</f>
        <v>1</v>
      </c>
      <c r="U21" s="82" cm="1">
        <f t="array" ref="U21">IF(U1="", "", _xlfn.SWITCH(U1, "Sat", U27-3, "Sun", U27-3, "Mon", U27-6, U27-5))</f>
        <v>3</v>
      </c>
      <c r="V21" s="82" cm="1">
        <f t="array" ref="V21">IF(V1="", "", _xlfn.SWITCH(V1, "Sat", V27-3, "Sun", V27-3, "Mon", V27-6, V27-5))</f>
        <v>1</v>
      </c>
      <c r="W21" s="82" cm="1">
        <f t="array" ref="W21">IF(W1="", "", _xlfn.SWITCH(W1, "Sat", W27-3, "Sun", W27-3, "Mon", W27-6, W27-5))</f>
        <v>4</v>
      </c>
      <c r="X21" s="82" cm="1">
        <f t="array" ref="X21">IF(X1="", "", _xlfn.SWITCH(X1, "Sat", X27-3, "Sun", X27-3, "Mon", X27-6, X27-5))</f>
        <v>1</v>
      </c>
      <c r="Y21" s="82" cm="1">
        <f t="array" ref="Y21">IF(Y1="", "", _xlfn.SWITCH(Y1, "Sat", Y27-3, "Sun", Y27-3, "Mon", Y27-6, Y27-5))</f>
        <v>1</v>
      </c>
      <c r="Z21" s="82" cm="1">
        <f t="array" ref="Z21">IF(Z1="", "", _xlfn.SWITCH(Z1, "Sat", Z27-3, "Sun", Z27-3, "Mon", Z27-6, Z27-5))</f>
        <v>1</v>
      </c>
      <c r="AA21" s="82" cm="1">
        <f t="array" ref="AA21">IF(AA1="", "", _xlfn.SWITCH(AA1, "Sat", AA27-3, "Sun", AA27-3, "Mon", AA27-6, AA27-5))</f>
        <v>1</v>
      </c>
      <c r="AB21" s="82" cm="1">
        <f t="array" ref="AB21">IF(AB1="", "", _xlfn.SWITCH(AB1, "Sat", AB27-3, "Sun", AB27-3, "Mon", AB27-6, AB27-5))</f>
        <v>3</v>
      </c>
      <c r="AC21" s="82" cm="1">
        <f t="array" ref="AC21">IF(AC1="", "", _xlfn.SWITCH(AC1, "Sat", AC27-3, "Sun", AC27-3, "Mon", AC27-6, AC27-5))</f>
        <v>1</v>
      </c>
      <c r="AD21" s="82" cm="1">
        <f t="array" ref="AD21">IF(AD1="", "", _xlfn.SWITCH(AD1, "Sat", AD27-3, "Sun", AD27-3, "Mon", AD27-6, AD27-5))</f>
        <v>4</v>
      </c>
      <c r="AE21" s="82" cm="1">
        <f t="array" ref="AE21">IF(AE1="", "", _xlfn.SWITCH(AE1, "Sat", AE27-3, "Sun", AE27-3, "Mon", AE27-6, AE27-5))</f>
        <v>1</v>
      </c>
      <c r="AF21" s="82" cm="1">
        <f t="array" ref="AF21">IF(AF1="", "", _xlfn.SWITCH(AF1, "Sat", AF27-3, "Sun", AF27-3, "Mon", AF27-6, AF27-5))</f>
        <v>0</v>
      </c>
      <c r="AG21" s="82" cm="1">
        <f t="array" ref="AG21">IF(AG1="", "", _xlfn.SWITCH(AG1, "Sat", AG27-3, "Sun", AG27-3, "Mon", AG27-6, AG27-5))</f>
        <v>0</v>
      </c>
      <c r="AH21" s="82" cm="1">
        <f t="array" ref="AH21">IF(AH1="", "", _xlfn.SWITCH(AH1, "Sat", AH27-3, "Sun", AH27-3, "Mon", AH27-6, AH27-5))</f>
        <v>2</v>
      </c>
      <c r="AI21" s="82" cm="1">
        <f t="array" ref="AI21">IF(AI1="", "", _xlfn.SWITCH(AI1, "Sat", AI27-3, "Sun", AI27-3, "Mon", AI27-6, AI27-5))</f>
        <v>3</v>
      </c>
      <c r="AJ21" s="82" cm="1">
        <f t="array" ref="AJ21">IF(AJ1="", "", _xlfn.SWITCH(AJ1, "Sat", AJ27-3, "Sun", AJ27-3, "Mon", AJ27-6, AJ27-5))</f>
        <v>0</v>
      </c>
      <c r="AK21" s="82" cm="1">
        <f t="array" ref="AK21">IF(AK1="", "", _xlfn.SWITCH(AK1, "Sat", AK27-3, "Sun", AK27-3, "Mon", AK27-6, AK27-5))</f>
        <v>3</v>
      </c>
      <c r="AL21" s="82" cm="1">
        <f t="array" ref="AL21">IF(AL1="", "", _xlfn.SWITCH(AL1, "Sat", AL27-3, "Sun", AL27-3, "Mon", AL27-6, AL27-5))</f>
        <v>0</v>
      </c>
      <c r="AM21" s="82" cm="1">
        <f t="array" ref="AM21">IF(AM1="", "", _xlfn.SWITCH(AM1, "Sat", AM27-3, "Sun", AM27-3, "Mon", AM27-6, AM27-5))-1</f>
        <v>0</v>
      </c>
      <c r="AN21" s="83" cm="1">
        <f t="array" ref="AN21">IF(AN1="", "", _xlfn.SWITCH(AN1, "Sat", AN27-3, "Sun", AN27-3, "Mon", AN27-6, AN27-5))</f>
        <v>1</v>
      </c>
      <c r="AO21" s="79" t="s">
        <v>41</v>
      </c>
      <c r="AP21" s="63">
        <f>SUM(J21:AM21)</f>
        <v>43</v>
      </c>
      <c r="AQ21" s="63"/>
      <c r="AR21" s="72"/>
    </row>
    <row r="22" spans="1:44" ht="17.399999999999999">
      <c r="A22" s="90"/>
      <c r="B22" s="91"/>
      <c r="C22" s="91"/>
      <c r="D22" s="91"/>
      <c r="E22" s="92" t="s">
        <v>132</v>
      </c>
      <c r="F22" s="92"/>
      <c r="G22" s="92"/>
      <c r="H22" s="93"/>
      <c r="I22" s="93"/>
      <c r="J22" s="70" t="s">
        <v>27</v>
      </c>
      <c r="K22" s="70" t="s">
        <v>29</v>
      </c>
      <c r="L22" s="70" t="s">
        <v>11</v>
      </c>
      <c r="M22" s="70" t="s">
        <v>135</v>
      </c>
      <c r="N22" s="70" t="s">
        <v>135</v>
      </c>
      <c r="O22" s="87" t="s">
        <v>27</v>
      </c>
      <c r="P22" s="70" t="s">
        <v>27</v>
      </c>
      <c r="Q22" s="70" t="s">
        <v>42</v>
      </c>
      <c r="R22" s="70" t="s">
        <v>36</v>
      </c>
      <c r="S22" s="87" t="s">
        <v>27</v>
      </c>
      <c r="T22" s="70" t="s">
        <v>135</v>
      </c>
      <c r="U22" s="70" t="s">
        <v>135</v>
      </c>
      <c r="V22" s="87" t="s">
        <v>11</v>
      </c>
      <c r="W22" s="70" t="s">
        <v>11</v>
      </c>
      <c r="X22" s="70" t="s">
        <v>29</v>
      </c>
      <c r="Y22" s="70" t="s">
        <v>42</v>
      </c>
      <c r="Z22" s="87" t="s">
        <v>11</v>
      </c>
      <c r="AA22" s="70" t="s">
        <v>135</v>
      </c>
      <c r="AB22" s="70" t="s">
        <v>135</v>
      </c>
      <c r="AC22" s="87" t="s">
        <v>27</v>
      </c>
      <c r="AD22" s="70" t="s">
        <v>11</v>
      </c>
      <c r="AE22" s="70" t="s">
        <v>29</v>
      </c>
      <c r="AF22" s="70" t="s">
        <v>36</v>
      </c>
      <c r="AG22" s="87" t="s">
        <v>11</v>
      </c>
      <c r="AH22" s="70" t="s">
        <v>136</v>
      </c>
      <c r="AI22" s="70" t="s">
        <v>136</v>
      </c>
      <c r="AJ22" s="87" t="s">
        <v>27</v>
      </c>
      <c r="AK22" s="70" t="s">
        <v>27</v>
      </c>
      <c r="AL22" s="70" t="s">
        <v>42</v>
      </c>
      <c r="AM22" s="70" t="s">
        <v>36</v>
      </c>
      <c r="AN22" s="88" t="s">
        <v>27</v>
      </c>
      <c r="AO22" s="67"/>
      <c r="AP22" s="68"/>
      <c r="AQ22" s="68"/>
    </row>
    <row r="23" spans="1:44" ht="18" thickBot="1">
      <c r="A23" s="94"/>
      <c r="B23" s="95"/>
      <c r="C23" s="95"/>
      <c r="D23" s="95"/>
      <c r="E23" s="96" t="s">
        <v>133</v>
      </c>
      <c r="F23" s="96"/>
      <c r="G23" s="96"/>
      <c r="H23" s="96"/>
      <c r="I23" s="96"/>
      <c r="J23" s="84" t="s">
        <v>44</v>
      </c>
      <c r="K23" s="84" t="s">
        <v>22</v>
      </c>
      <c r="L23" s="84" t="s">
        <v>38</v>
      </c>
      <c r="M23" s="84" t="s">
        <v>135</v>
      </c>
      <c r="N23" s="84" t="s">
        <v>135</v>
      </c>
      <c r="O23" s="86" t="s">
        <v>31</v>
      </c>
      <c r="P23" s="84" t="s">
        <v>22</v>
      </c>
      <c r="Q23" s="84" t="s">
        <v>44</v>
      </c>
      <c r="R23" s="84" t="s">
        <v>111</v>
      </c>
      <c r="S23" s="86" t="s">
        <v>22</v>
      </c>
      <c r="T23" s="84" t="s">
        <v>135</v>
      </c>
      <c r="U23" s="84" t="s">
        <v>135</v>
      </c>
      <c r="V23" s="86" t="s">
        <v>31</v>
      </c>
      <c r="W23" s="84" t="s">
        <v>38</v>
      </c>
      <c r="X23" s="86" t="s">
        <v>31</v>
      </c>
      <c r="Y23" s="86" t="s">
        <v>31</v>
      </c>
      <c r="Z23" s="86" t="s">
        <v>22</v>
      </c>
      <c r="AA23" s="84" t="s">
        <v>135</v>
      </c>
      <c r="AB23" s="84" t="s">
        <v>135</v>
      </c>
      <c r="AC23" s="86" t="s">
        <v>31</v>
      </c>
      <c r="AD23" s="84" t="s">
        <v>38</v>
      </c>
      <c r="AE23" s="84" t="s">
        <v>22</v>
      </c>
      <c r="AF23" s="84" t="s">
        <v>31</v>
      </c>
      <c r="AG23" s="86" t="s">
        <v>22</v>
      </c>
      <c r="AH23" s="84" t="s">
        <v>136</v>
      </c>
      <c r="AI23" s="84" t="s">
        <v>136</v>
      </c>
      <c r="AJ23" s="86" t="s">
        <v>31</v>
      </c>
      <c r="AK23" s="86" t="s">
        <v>31</v>
      </c>
      <c r="AL23" s="84" t="s">
        <v>44</v>
      </c>
      <c r="AM23" s="84" t="s">
        <v>31</v>
      </c>
      <c r="AN23" s="89" t="s">
        <v>44</v>
      </c>
      <c r="AO23" s="67"/>
      <c r="AP23" s="68"/>
      <c r="AQ23" s="68"/>
    </row>
    <row r="24" spans="1:44" ht="16.5" hidden="1" customHeight="1" thickBot="1">
      <c r="A24" s="12"/>
      <c r="B24" s="12"/>
      <c r="C24" s="12"/>
      <c r="D24" s="12"/>
      <c r="E24" s="12"/>
      <c r="F24" s="12"/>
      <c r="G24" s="12"/>
      <c r="H24" s="107">
        <v>0.33333333333333331</v>
      </c>
      <c r="I24" s="108"/>
      <c r="J24" s="69" cm="1">
        <f t="array" ref="J24">SUMPRODUCT(--ISNUMBER(FIND("08:00",J3:J20)))</f>
        <v>2</v>
      </c>
      <c r="K24" s="69" cm="1">
        <f t="array" ref="K24">SUMPRODUCT(--ISNUMBER(FIND("08:00",K3:K20)))</f>
        <v>1</v>
      </c>
      <c r="L24" s="69" cm="1">
        <f t="array" ref="L24">SUMPRODUCT(--ISNUMBER(FIND("08:00",L3:L20)))</f>
        <v>1</v>
      </c>
      <c r="M24" s="69" cm="1">
        <f t="array" ref="M24">SUMPRODUCT(--ISNUMBER(FIND("08:00",M3:M20)))</f>
        <v>1</v>
      </c>
      <c r="N24" s="69" cm="1">
        <f t="array" ref="N24">SUMPRODUCT(--ISNUMBER(FIND("08:00",N3:N20)))</f>
        <v>2</v>
      </c>
      <c r="O24" s="69" cm="1">
        <f t="array" ref="O24">SUMPRODUCT(--ISNUMBER(FIND("08:00",O3:O20)))</f>
        <v>2</v>
      </c>
      <c r="P24" s="69" cm="1">
        <f t="array" ref="P24">SUMPRODUCT(--ISNUMBER(FIND("08:00",P3:P20)))</f>
        <v>2</v>
      </c>
      <c r="Q24" s="69" cm="1">
        <f t="array" ref="Q24">SUMPRODUCT(--ISNUMBER(FIND("08:00",Q3:Q20)))</f>
        <v>1</v>
      </c>
      <c r="R24" s="69" cm="1">
        <f t="array" ref="R24">SUMPRODUCT(--ISNUMBER(FIND("08:00",R3:R20)))</f>
        <v>1</v>
      </c>
      <c r="S24" s="69" cm="1">
        <f t="array" ref="S24">SUMPRODUCT(--ISNUMBER(FIND("08:00",S3:S20)))</f>
        <v>1</v>
      </c>
      <c r="T24" s="69" cm="1">
        <f t="array" ref="T24">SUMPRODUCT(--ISNUMBER(FIND("08:00",T3:T20)))</f>
        <v>1</v>
      </c>
      <c r="U24" s="69" cm="1">
        <f t="array" ref="U24">SUMPRODUCT(--ISNUMBER(FIND("08:00",U3:U20)))</f>
        <v>2</v>
      </c>
      <c r="V24" s="69" cm="1">
        <f t="array" ref="V24">SUMPRODUCT(--ISNUMBER(FIND("08:00",V3:V20)))</f>
        <v>2</v>
      </c>
      <c r="W24" s="69" cm="1">
        <f t="array" ref="W24">SUMPRODUCT(--ISNUMBER(FIND("08:00",W3:W20)))</f>
        <v>2</v>
      </c>
      <c r="X24" s="69" cm="1">
        <f t="array" ref="X24">SUMPRODUCT(--ISNUMBER(FIND("08:00",X3:X20)))</f>
        <v>1</v>
      </c>
      <c r="Y24" s="69" cm="1">
        <f t="array" ref="Y24">SUMPRODUCT(--ISNUMBER(FIND("08:00",Y3:Y20)))</f>
        <v>1</v>
      </c>
      <c r="Z24" s="69" cm="1">
        <f t="array" ref="Z24">SUMPRODUCT(--ISNUMBER(FIND("08:00",Z3:Z20)))</f>
        <v>1</v>
      </c>
      <c r="AA24" s="69" cm="1">
        <f t="array" ref="AA24">SUMPRODUCT(--ISNUMBER(FIND("08:00",AA3:AA20)))</f>
        <v>1</v>
      </c>
      <c r="AB24" s="69" cm="1">
        <f t="array" ref="AB24">SUMPRODUCT(--ISNUMBER(FIND("08:00",AB3:AB20)))</f>
        <v>2</v>
      </c>
      <c r="AC24" s="69" cm="1">
        <f t="array" ref="AC24">SUMPRODUCT(--ISNUMBER(FIND("08:00",AC3:AC20)))</f>
        <v>2</v>
      </c>
      <c r="AD24" s="69" cm="1">
        <f t="array" ref="AD24">SUMPRODUCT(--ISNUMBER(FIND("08:00",AD3:AD20)))</f>
        <v>2</v>
      </c>
      <c r="AE24" s="69" cm="1">
        <f t="array" ref="AE24">SUMPRODUCT(--ISNUMBER(FIND("08:00",AE3:AE20)))</f>
        <v>1</v>
      </c>
      <c r="AF24" s="69" cm="1">
        <f t="array" ref="AF24">SUMPRODUCT(--ISNUMBER(FIND("08:00",AF3:AF20)))</f>
        <v>1</v>
      </c>
      <c r="AG24" s="69" cm="1">
        <f t="array" ref="AG24">SUMPRODUCT(--ISNUMBER(FIND("08:00",AG3:AG20)))</f>
        <v>1</v>
      </c>
      <c r="AH24" s="69" cm="1">
        <f t="array" ref="AH24">SUMPRODUCT(--ISNUMBER(FIND("08:00",AH3:AH20)))</f>
        <v>1</v>
      </c>
      <c r="AI24" s="69" cm="1">
        <f t="array" ref="AI24">SUMPRODUCT(--ISNUMBER(FIND("08:00",AI3:AI20)))</f>
        <v>2</v>
      </c>
      <c r="AJ24" s="69" cm="1">
        <f t="array" ref="AJ24">SUMPRODUCT(--ISNUMBER(FIND("08:00",AJ3:AJ20)))</f>
        <v>2</v>
      </c>
      <c r="AK24" s="69" cm="1">
        <f t="array" ref="AK24">SUMPRODUCT(--ISNUMBER(FIND("08:00",AK3:AK20)))</f>
        <v>2</v>
      </c>
      <c r="AL24" s="69" cm="1">
        <f t="array" ref="AL24">SUMPRODUCT(--ISNUMBER(FIND("08:00",AL3:AL20)))</f>
        <v>1</v>
      </c>
      <c r="AM24" s="69" cm="1">
        <f t="array" ref="AM24">SUMPRODUCT(--ISNUMBER(FIND("08:00",AM3:AM20)))</f>
        <v>1</v>
      </c>
      <c r="AN24" s="69" cm="1">
        <f t="array" ref="AN24">SUMPRODUCT(--ISNUMBER(FIND("08:00",AN3:AN20)))</f>
        <v>1</v>
      </c>
    </row>
    <row r="25" spans="1:44" ht="16.5" hidden="1" customHeight="1" thickBot="1">
      <c r="B25" s="12"/>
      <c r="D25" s="12"/>
      <c r="E25" s="12"/>
      <c r="F25" s="12"/>
      <c r="G25" s="12"/>
      <c r="H25" s="105" t="s">
        <v>130</v>
      </c>
      <c r="I25" s="106"/>
      <c r="J25" s="29" cm="1">
        <f t="array" ref="J25">SUMPRODUCT(ISNUMBER(FIND({"11:00","12:00"},J3:J20))*1)</f>
        <v>4</v>
      </c>
      <c r="K25" s="29" cm="1">
        <f t="array" ref="K25">SUMPRODUCT(ISNUMBER(FIND({"11:00","12:00"},K3:K20))*1)</f>
        <v>3</v>
      </c>
      <c r="L25" s="29" cm="1">
        <f t="array" ref="L25">SUMPRODUCT(ISNUMBER(FIND({"11:00","12:00"},L3:L20))*1)</f>
        <v>2</v>
      </c>
      <c r="M25" s="29" cm="1">
        <f t="array" ref="M25">SUMPRODUCT(ISNUMBER(FIND({"11:00","12:00"},M3:M20))*1)</f>
        <v>1</v>
      </c>
      <c r="N25" s="29" cm="1">
        <f t="array" ref="N25">SUMPRODUCT(ISNUMBER(FIND({"11:00","12:00"},N3:N20))*1)</f>
        <v>2</v>
      </c>
      <c r="O25" s="29" cm="1">
        <f t="array" ref="O25">SUMPRODUCT(ISNUMBER(FIND({"11:00","12:00"},O3:O20))*1)</f>
        <v>2</v>
      </c>
      <c r="P25" s="29" cm="1">
        <f t="array" ref="P25">SUMPRODUCT(ISNUMBER(FIND({"11:00","12:00"},P3:P20))*1)</f>
        <v>4</v>
      </c>
      <c r="Q25" s="29" cm="1">
        <f t="array" ref="Q25">SUMPRODUCT(ISNUMBER(FIND({"11:00","12:00"},Q3:Q20))*1)</f>
        <v>3</v>
      </c>
      <c r="R25" s="29" cm="1">
        <f t="array" ref="R25">SUMPRODUCT(ISNUMBER(FIND({"11:00","12:00"},R3:R20))*1)</f>
        <v>2</v>
      </c>
      <c r="S25" s="29" cm="1">
        <f t="array" ref="S25">SUMPRODUCT(ISNUMBER(FIND({"11:00","12:00"},S3:S20))*1)</f>
        <v>3</v>
      </c>
      <c r="T25" s="29" cm="1">
        <f t="array" ref="T25">SUMPRODUCT(ISNUMBER(FIND({"11:00","12:00"},T3:T20))*1)</f>
        <v>1</v>
      </c>
      <c r="U25" s="29" cm="1">
        <f t="array" ref="U25">SUMPRODUCT(ISNUMBER(FIND({"11:00","12:00"},U3:U20))*1)</f>
        <v>2</v>
      </c>
      <c r="V25" s="29" cm="1">
        <f t="array" ref="V25">SUMPRODUCT(ISNUMBER(FIND({"11:00","12:00"},V3:V20))*1)</f>
        <v>3</v>
      </c>
      <c r="W25" s="29" cm="1">
        <f t="array" ref="W25">SUMPRODUCT(ISNUMBER(FIND({"11:00","12:00"},W3:W20))*1)</f>
        <v>4</v>
      </c>
      <c r="X25" s="29" cm="1">
        <f t="array" ref="X25">SUMPRODUCT(ISNUMBER(FIND({"11:00","12:00"},X3:X20))*1)</f>
        <v>3</v>
      </c>
      <c r="Y25" s="29" cm="1">
        <f t="array" ref="Y25">SUMPRODUCT(ISNUMBER(FIND({"11:00","12:00"},Y3:Y20))*1)</f>
        <v>3</v>
      </c>
      <c r="Z25" s="29" cm="1">
        <f t="array" ref="Z25">SUMPRODUCT(ISNUMBER(FIND({"11:00","12:00"},Z3:Z20))*1)</f>
        <v>3</v>
      </c>
      <c r="AA25" s="29" cm="1">
        <f t="array" ref="AA25">SUMPRODUCT(ISNUMBER(FIND({"11:00","12:00"},AA3:AA20))*1)</f>
        <v>1</v>
      </c>
      <c r="AB25" s="29" cm="1">
        <f t="array" ref="AB25">SUMPRODUCT(ISNUMBER(FIND({"11:00","12:00"},AB3:AB20))*1)</f>
        <v>2</v>
      </c>
      <c r="AC25" s="29" cm="1">
        <f t="array" ref="AC25">SUMPRODUCT(ISNUMBER(FIND({"11:00","12:00"},AC3:AC20))*1)</f>
        <v>3</v>
      </c>
      <c r="AD25" s="29" cm="1">
        <f t="array" ref="AD25">SUMPRODUCT(ISNUMBER(FIND({"11:00","12:00"},AD3:AD20))*1)</f>
        <v>4</v>
      </c>
      <c r="AE25" s="29" cm="1">
        <f t="array" ref="AE25">SUMPRODUCT(ISNUMBER(FIND({"11:00","12:00"},AE3:AE20))*1)</f>
        <v>3</v>
      </c>
      <c r="AF25" s="29" cm="1">
        <f t="array" ref="AF25">SUMPRODUCT(ISNUMBER(FIND({"11:00","12:00"},AF3:AF20))*1)</f>
        <v>2</v>
      </c>
      <c r="AG25" s="29" cm="1">
        <f t="array" ref="AG25">SUMPRODUCT(ISNUMBER(FIND({"11:00","12:00"},AG3:AG20))*1)</f>
        <v>2</v>
      </c>
      <c r="AH25" s="29" cm="1">
        <f t="array" ref="AH25">SUMPRODUCT(ISNUMBER(FIND({"11:00","12:00"},AH3:AH20))*1)</f>
        <v>2</v>
      </c>
      <c r="AI25" s="29" cm="1">
        <f t="array" ref="AI25">SUMPRODUCT(ISNUMBER(FIND({"11:00","12:00"},AI3:AI20))*1)</f>
        <v>2</v>
      </c>
      <c r="AJ25" s="29" cm="1">
        <f t="array" ref="AJ25">SUMPRODUCT(ISNUMBER(FIND({"11:00","12:00"},AJ3:AJ20))*1)</f>
        <v>2</v>
      </c>
      <c r="AK25" s="29" cm="1">
        <f t="array" ref="AK25">SUMPRODUCT(ISNUMBER(FIND({"11:00","12:00"},AK3:AK20))*1)</f>
        <v>3</v>
      </c>
      <c r="AL25" s="29" cm="1">
        <f t="array" ref="AL25">SUMPRODUCT(ISNUMBER(FIND({"11:00","12:00"},AL3:AL20))*1)</f>
        <v>3</v>
      </c>
      <c r="AM25" s="29" cm="1">
        <f t="array" ref="AM25">SUMPRODUCT(ISNUMBER(FIND({"11:00","12:00"},AM3:AM20))*1)</f>
        <v>3</v>
      </c>
      <c r="AN25" s="29" cm="1">
        <f t="array" ref="AN25">SUMPRODUCT(ISNUMBER(FIND({"11:00","12:00"},AN3:AN20))*1)</f>
        <v>3</v>
      </c>
    </row>
    <row r="26" spans="1:44" ht="16.5" hidden="1" customHeight="1" thickBot="1">
      <c r="F26" s="12"/>
      <c r="G26" s="12"/>
      <c r="H26" s="109">
        <v>0.625</v>
      </c>
      <c r="I26" s="110"/>
      <c r="J26" s="29" cm="1">
        <f t="array" ref="J26">SUMPRODUCT(ISNUMBER(FIND("15:00",J5:J20))*1)</f>
        <v>1</v>
      </c>
      <c r="K26" s="29" cm="1">
        <f t="array" ref="K26">SUMPRODUCT(ISNUMBER(FIND("15:00",K5:K20))*1)</f>
        <v>2</v>
      </c>
      <c r="L26" s="29" cm="1">
        <f t="array" ref="L26">SUMPRODUCT(ISNUMBER(FIND("15:00",L5:L20))*1)</f>
        <v>2</v>
      </c>
      <c r="M26" s="29" cm="1">
        <f t="array" ref="M26">SUMPRODUCT(ISNUMBER(FIND("15:00",M5:M20))*1)</f>
        <v>2</v>
      </c>
      <c r="N26" s="29" cm="1">
        <f t="array" ref="N26">SUMPRODUCT(ISNUMBER(FIND("15:00",N5:N20))*1)</f>
        <v>2</v>
      </c>
      <c r="O26" s="29" cm="1">
        <f t="array" ref="O26">SUMPRODUCT(ISNUMBER(FIND("15:00",O5:O20))*1)</f>
        <v>2</v>
      </c>
      <c r="P26" s="29" cm="1">
        <f t="array" ref="P26">SUMPRODUCT(ISNUMBER(FIND("15:00",P5:P20))*1)</f>
        <v>3</v>
      </c>
      <c r="Q26" s="29" cm="1">
        <f t="array" ref="Q26">SUMPRODUCT(ISNUMBER(FIND("15:00",Q5:Q20))*1)</f>
        <v>2</v>
      </c>
      <c r="R26" s="29" cm="1">
        <f t="array" ref="R26">SUMPRODUCT(ISNUMBER(FIND("15:00",R5:R20))*1)</f>
        <v>2</v>
      </c>
      <c r="S26" s="29" cm="1">
        <f t="array" ref="S26">SUMPRODUCT(ISNUMBER(FIND("15:00",S5:S20))*1)</f>
        <v>2</v>
      </c>
      <c r="T26" s="29" cm="1">
        <f t="array" ref="T26">SUMPRODUCT(ISNUMBER(FIND("15:00",T5:T20))*1)</f>
        <v>2</v>
      </c>
      <c r="U26" s="29" cm="1">
        <f t="array" ref="U26">SUMPRODUCT(ISNUMBER(FIND("15:00",U5:U20))*1)</f>
        <v>2</v>
      </c>
      <c r="V26" s="29" cm="1">
        <f t="array" ref="V26">SUMPRODUCT(ISNUMBER(FIND("15:00",V5:V20))*1)</f>
        <v>2</v>
      </c>
      <c r="W26" s="29" cm="1">
        <f t="array" ref="W26">SUMPRODUCT(ISNUMBER(FIND("15:00",W5:W20))*1)</f>
        <v>3</v>
      </c>
      <c r="X26" s="29" cm="1">
        <f t="array" ref="X26">SUMPRODUCT(ISNUMBER(FIND("15:00",X5:X20))*1)</f>
        <v>2</v>
      </c>
      <c r="Y26" s="29" cm="1">
        <f t="array" ref="Y26">SUMPRODUCT(ISNUMBER(FIND("15:00",Y5:Y20))*1)</f>
        <v>2</v>
      </c>
      <c r="Z26" s="29" cm="1">
        <f t="array" ref="Z26">SUMPRODUCT(ISNUMBER(FIND("15:00",Z5:Z20))*1)</f>
        <v>2</v>
      </c>
      <c r="AA26" s="29" cm="1">
        <f t="array" ref="AA26">SUMPRODUCT(ISNUMBER(FIND("15:00",AA5:AA20))*1)</f>
        <v>2</v>
      </c>
      <c r="AB26" s="29" cm="1">
        <f t="array" ref="AB26">SUMPRODUCT(ISNUMBER(FIND("15:00",AB5:AB20))*1)</f>
        <v>2</v>
      </c>
      <c r="AC26" s="29" cm="1">
        <f t="array" ref="AC26">SUMPRODUCT(ISNUMBER(FIND("15:00",AC5:AC20))*1)</f>
        <v>2</v>
      </c>
      <c r="AD26" s="29" cm="1">
        <f t="array" ref="AD26">SUMPRODUCT(ISNUMBER(FIND("15:00",AD5:AD20))*1)</f>
        <v>3</v>
      </c>
      <c r="AE26" s="29" cm="1">
        <f t="array" ref="AE26">SUMPRODUCT(ISNUMBER(FIND("15:00",AE5:AE20))*1)</f>
        <v>2</v>
      </c>
      <c r="AF26" s="29" cm="1">
        <f t="array" ref="AF26">SUMPRODUCT(ISNUMBER(FIND("15:00",AF5:AF20))*1)</f>
        <v>2</v>
      </c>
      <c r="AG26" s="29" cm="1">
        <f t="array" ref="AG26">SUMPRODUCT(ISNUMBER(FIND("15:00",AG5:AG20))*1)</f>
        <v>2</v>
      </c>
      <c r="AH26" s="29" cm="1">
        <f t="array" ref="AH26">SUMPRODUCT(ISNUMBER(FIND("15:00",AH5:AH20))*1)</f>
        <v>2</v>
      </c>
      <c r="AI26" s="29" cm="1">
        <f t="array" ref="AI26">SUMPRODUCT(ISNUMBER(FIND("15:00",AI5:AI20))*1)</f>
        <v>2</v>
      </c>
      <c r="AJ26" s="29" cm="1">
        <f t="array" ref="AJ26">SUMPRODUCT(ISNUMBER(FIND("15:00",AJ5:AJ20))*1)</f>
        <v>2</v>
      </c>
      <c r="AK26" s="29" cm="1">
        <f t="array" ref="AK26">SUMPRODUCT(ISNUMBER(FIND("15:00",AK5:AK20))*1)</f>
        <v>3</v>
      </c>
      <c r="AL26" s="29" cm="1">
        <f t="array" ref="AL26">SUMPRODUCT(ISNUMBER(FIND("15:00",AL5:AL20))*1)</f>
        <v>1</v>
      </c>
      <c r="AM26" s="29" cm="1">
        <f t="array" ref="AM26">SUMPRODUCT(ISNUMBER(FIND("15:00",AM5:AM20))*1)</f>
        <v>2</v>
      </c>
      <c r="AN26" s="29" cm="1">
        <f t="array" ref="AN26">SUMPRODUCT(ISNUMBER(FIND("15:00",AN5:AN20))*1)</f>
        <v>2</v>
      </c>
    </row>
    <row r="27" spans="1:44" ht="16.5" hidden="1" customHeight="1" thickBot="1">
      <c r="F27" s="12"/>
      <c r="H27" s="101" t="s">
        <v>45</v>
      </c>
      <c r="I27" s="102"/>
      <c r="J27" s="30">
        <f>SUM(J24:J26)</f>
        <v>7</v>
      </c>
      <c r="K27" s="30">
        <f t="shared" ref="K27:AM27" si="16">SUM(K24:K26)</f>
        <v>6</v>
      </c>
      <c r="L27" s="30">
        <f t="shared" si="16"/>
        <v>5</v>
      </c>
      <c r="M27" s="30">
        <f t="shared" si="16"/>
        <v>4</v>
      </c>
      <c r="N27" s="30">
        <f t="shared" si="16"/>
        <v>6</v>
      </c>
      <c r="O27" s="30">
        <f t="shared" si="16"/>
        <v>6</v>
      </c>
      <c r="P27" s="30">
        <f t="shared" si="16"/>
        <v>9</v>
      </c>
      <c r="Q27" s="30">
        <f t="shared" si="16"/>
        <v>6</v>
      </c>
      <c r="R27" s="30">
        <f t="shared" si="16"/>
        <v>5</v>
      </c>
      <c r="S27" s="30">
        <f t="shared" si="16"/>
        <v>6</v>
      </c>
      <c r="T27" s="30">
        <f t="shared" si="16"/>
        <v>4</v>
      </c>
      <c r="U27" s="30">
        <f t="shared" si="16"/>
        <v>6</v>
      </c>
      <c r="V27" s="30">
        <f t="shared" si="16"/>
        <v>7</v>
      </c>
      <c r="W27" s="30">
        <f t="shared" si="16"/>
        <v>9</v>
      </c>
      <c r="X27" s="30">
        <f t="shared" si="16"/>
        <v>6</v>
      </c>
      <c r="Y27" s="30">
        <f t="shared" si="16"/>
        <v>6</v>
      </c>
      <c r="Z27" s="30">
        <f t="shared" si="16"/>
        <v>6</v>
      </c>
      <c r="AA27" s="30">
        <f t="shared" si="16"/>
        <v>4</v>
      </c>
      <c r="AB27" s="30">
        <f t="shared" si="16"/>
        <v>6</v>
      </c>
      <c r="AC27" s="30">
        <f t="shared" si="16"/>
        <v>7</v>
      </c>
      <c r="AD27" s="30">
        <f t="shared" si="16"/>
        <v>9</v>
      </c>
      <c r="AE27" s="30">
        <f t="shared" si="16"/>
        <v>6</v>
      </c>
      <c r="AF27" s="30">
        <f t="shared" si="16"/>
        <v>5</v>
      </c>
      <c r="AG27" s="30">
        <f t="shared" si="16"/>
        <v>5</v>
      </c>
      <c r="AH27" s="30">
        <f t="shared" si="16"/>
        <v>5</v>
      </c>
      <c r="AI27" s="30">
        <f t="shared" si="16"/>
        <v>6</v>
      </c>
      <c r="AJ27" s="30">
        <f t="shared" si="16"/>
        <v>6</v>
      </c>
      <c r="AK27" s="30">
        <f t="shared" si="16"/>
        <v>8</v>
      </c>
      <c r="AL27" s="30">
        <f t="shared" si="16"/>
        <v>5</v>
      </c>
      <c r="AM27" s="30">
        <f t="shared" si="16"/>
        <v>6</v>
      </c>
      <c r="AN27" s="30">
        <f t="shared" ref="AN27" si="17">SUM(AN24:AN26)</f>
        <v>6</v>
      </c>
    </row>
    <row r="28" spans="1:44" ht="17.399999999999999">
      <c r="F28" s="12"/>
      <c r="I28" s="10"/>
    </row>
    <row r="29" spans="1:44" ht="16.5" hidden="1" customHeight="1">
      <c r="I29" s="10"/>
      <c r="J29" s="10" t="str" cm="1">
        <f t="array" ref="J29:J35">IF(OR(J$1="Sat",J$1="Sun"),"X",_xlfn._xlws.FILTER($A$3:$A$20,(J$3:J$20&lt;&gt;"OFF")*($A$3:$A$20&lt;&gt;"")))</f>
        <v>Evan Liu</v>
      </c>
      <c r="K29" s="10" t="str" cm="1">
        <f t="array" ref="K29:K34">IF(OR(K$1="Sat",K$1="Sun"),"X",_xlfn._xlws.FILTER($A$3:$A$20,(K$3:K$20&lt;&gt;"OFF")*($A$3:$A$20&lt;&gt;"")))</f>
        <v>Jian Kai Ding</v>
      </c>
      <c r="L29" s="10" t="str" cm="1">
        <f t="array" ref="L29:L34">IF(OR(L$1="Sat",L$1="Sun"),"X",_xlfn._xlws.FILTER($A$3:$A$20,(L$3:L$20&lt;&gt;"OFF")*($A$3:$A$20&lt;&gt;"")))</f>
        <v>Evan Liu</v>
      </c>
      <c r="M29" s="10" t="str" cm="1">
        <f t="array" ref="M29">IF(OR(M$1="Sat",M$1="Sun"),"X",_xlfn._xlws.FILTER($A$3:$A$20,(M$3:M$20&lt;&gt;"OFF")*($A$3:$A$20&lt;&gt;"")))</f>
        <v>X</v>
      </c>
      <c r="N29" s="10" t="str" cm="1">
        <f t="array" ref="N29">IF(OR(N$1="Sat",N$1="Sun"),"X",_xlfn._xlws.FILTER($A$3:$A$20,(N$3:N$20&lt;&gt;"OFF")*($A$3:$A$20&lt;&gt;"")))</f>
        <v>X</v>
      </c>
      <c r="O29" s="10" t="str" cm="1">
        <f t="array" ref="O29:O35">IF(OR(O$1="Sat",O$1="Sun"),"X",_xlfn._xlws.FILTER($A$3:$A$20,(O$3:O$20&lt;&gt;"OFF")*($A$3:$A$20&lt;&gt;"")))</f>
        <v>Evan Liu</v>
      </c>
      <c r="P29" s="10" t="str" cm="1">
        <f t="array" ref="P29:P37">IF(OR(P$1="Sat",P$1="Sun"),"X",_xlfn._xlws.FILTER($A$3:$A$20,(P$3:P$20&lt;&gt;"OFF")*($A$3:$A$20&lt;&gt;"")))</f>
        <v>Evan Liu</v>
      </c>
      <c r="Q29" s="10" t="str" cm="1">
        <f t="array" ref="Q29:Q34">IF(OR(Q$1="Sat",Q$1="Sun"),"X",_xlfn._xlws.FILTER($A$3:$A$20,(Q$3:Q$20&lt;&gt;"OFF")*($A$3:$A$20&lt;&gt;"")))</f>
        <v>Jian Kai Ding</v>
      </c>
      <c r="R29" s="10" t="str" cm="1">
        <f t="array" ref="R29:R34">IF(OR(R$1="Sat",R$1="Sun"),"X",_xlfn._xlws.FILTER($A$3:$A$20,(R$3:R$20&lt;&gt;"OFF")*($A$3:$A$20&lt;&gt;"")))</f>
        <v>Jian Kai Ding</v>
      </c>
      <c r="S29" s="10" t="str" cm="1">
        <f t="array" ref="S29:S34">IF(OR(S$1="Sat",S$1="Sun"),"X",_xlfn._xlws.FILTER($A$3:$A$20,(S$3:S$20&lt;&gt;"OFF")*($A$3:$A$20&lt;&gt;"")))</f>
        <v>Evan Liu</v>
      </c>
      <c r="T29" s="10" t="str" cm="1">
        <f t="array" ref="T29">IF(OR(T$1="Sat",T$1="Sun"),"X",_xlfn._xlws.FILTER($A$3:$A$20,(T$3:T$20&lt;&gt;"OFF")*($A$3:$A$20&lt;&gt;"")))</f>
        <v>X</v>
      </c>
      <c r="U29" s="10" t="str" cm="1">
        <f t="array" ref="U29">IF(OR(U$1="Sat",U$1="Sun"),"X",_xlfn._xlws.FILTER($A$3:$A$20,(U$3:U$20&lt;&gt;"OFF")*($A$3:$A$20&lt;&gt;"")))</f>
        <v>X</v>
      </c>
      <c r="V29" s="10" t="str" cm="1">
        <f t="array" ref="V29:V35">IF(OR(V$1="Sat",V$1="Sun"),"X",_xlfn._xlws.FILTER($A$3:$A$20,(V$3:V$20&lt;&gt;"OFF")*($A$3:$A$20&lt;&gt;"")))</f>
        <v>Evan Liu</v>
      </c>
      <c r="W29" s="10" t="str" cm="1">
        <f t="array" ref="W29:W37">IF(OR(W$1="Sat",W$1="Sun"),"X",_xlfn._xlws.FILTER($A$3:$A$20,(W$3:W$20&lt;&gt;"OFF")*($A$3:$A$20&lt;&gt;"")))</f>
        <v>Evan Liu</v>
      </c>
      <c r="X29" s="10" t="str" cm="1">
        <f t="array" ref="X29:X34">IF(OR(X$1="Sat",X$1="Sun"),"X",_xlfn._xlws.FILTER($A$3:$A$20,(X$3:X$20&lt;&gt;"OFF")*($A$3:$A$20&lt;&gt;"")))</f>
        <v>Jian Kai Ding</v>
      </c>
      <c r="Y29" s="10" t="str" cm="1">
        <f t="array" ref="Y29:Y34">IF(OR(Y$1="Sat",Y$1="Sun"),"X",_xlfn._xlws.FILTER($A$3:$A$20,(Y$3:Y$20&lt;&gt;"OFF")*($A$3:$A$20&lt;&gt;"")))</f>
        <v>Jian Kai Ding</v>
      </c>
      <c r="Z29" s="10" t="str" cm="1">
        <f t="array" ref="Z29:Z34">IF(OR(Z$1="Sat",Z$1="Sun"),"X",_xlfn._xlws.FILTER($A$3:$A$20,(Z$3:Z$20&lt;&gt;"OFF")*($A$3:$A$20&lt;&gt;"")))</f>
        <v>Evan Liu</v>
      </c>
      <c r="AA29" s="10" t="str" cm="1">
        <f t="array" ref="AA29">IF(OR(AA$1="Sat",AA$1="Sun"),"X",_xlfn._xlws.FILTER($A$3:$A$20,(AA$3:AA$20&lt;&gt;"OFF")*($A$3:$A$20&lt;&gt;"")))</f>
        <v>X</v>
      </c>
      <c r="AB29" s="10" t="str" cm="1">
        <f t="array" ref="AB29">IF(OR(AB$1="Sat",AB$1="Sun"),"X",_xlfn._xlws.FILTER($A$3:$A$20,(AB$3:AB$20&lt;&gt;"OFF")*($A$3:$A$20&lt;&gt;"")))</f>
        <v>X</v>
      </c>
      <c r="AC29" s="10" t="str" cm="1">
        <f t="array" ref="AC29:AC35">IF(OR(AC$1="Sat",AC$1="Sun"),"X",_xlfn._xlws.FILTER($A$3:$A$20,(AC$3:AC$20&lt;&gt;"OFF")*($A$3:$A$20&lt;&gt;"")))</f>
        <v>Evan Liu</v>
      </c>
      <c r="AD29" s="10" t="str" cm="1">
        <f t="array" ref="AD29:AD37">IF(OR(AD$1="Sat",AD$1="Sun"),"X",_xlfn._xlws.FILTER($A$3:$A$20,(AD$3:AD$20&lt;&gt;"OFF")*($A$3:$A$20&lt;&gt;"")))</f>
        <v>Evan Liu</v>
      </c>
      <c r="AE29" s="10" t="str" cm="1">
        <f t="array" ref="AE29:AE34">IF(OR(AE$1="Sat",AE$1="Sun"),"X",_xlfn._xlws.FILTER($A$3:$A$20,(AE$3:AE$20&lt;&gt;"OFF")*($A$3:$A$20&lt;&gt;"")))</f>
        <v>Jian Kai Ding</v>
      </c>
      <c r="AF29" s="10" t="str" cm="1">
        <f t="array" ref="AF29:AF34">IF(OR(AF$1="Sat",AF$1="Sun"),"X",_xlfn._xlws.FILTER($A$3:$A$20,(AF$3:AF$20&lt;&gt;"OFF")*($A$3:$A$20&lt;&gt;"")))</f>
        <v>Jian Kai Ding</v>
      </c>
      <c r="AG29" s="10" t="str" cm="1">
        <f t="array" ref="AG29:AG33">IF(OR(AG$1="Sat",AG$1="Sun"),"X",_xlfn._xlws.FILTER($A$3:$A$20,(AG$3:AG$20&lt;&gt;"OFF")*($A$3:$A$20&lt;&gt;"")))</f>
        <v>Evan Liu</v>
      </c>
      <c r="AH29" s="10" t="str" cm="1">
        <f t="array" ref="AH29">IF(OR(AH$1="Sat",AH$1="Sun"),"X",_xlfn._xlws.FILTER($A$3:$A$20,(AH$3:AH$20&lt;&gt;"OFF")*($A$3:$A$20&lt;&gt;"")))</f>
        <v>X</v>
      </c>
      <c r="AI29" s="10" t="str" cm="1">
        <f t="array" ref="AI29">IF(OR(AI$1="Sat",AI$1="Sun"),"X",_xlfn._xlws.FILTER($A$3:$A$20,(AI$3:AI$20&lt;&gt;"OFF")*($A$3:$A$20&lt;&gt;"")))</f>
        <v>X</v>
      </c>
      <c r="AJ29" s="10" t="str" cm="1">
        <f t="array" ref="AJ29:AJ35">IF(OR(AJ$1="Sat",AJ$1="Sun"),"X",_xlfn._xlws.FILTER($A$3:$A$20,(AJ$3:AJ$20&lt;&gt;"OFF")*($A$3:$A$20&lt;&gt;"")))</f>
        <v>Evan Liu</v>
      </c>
      <c r="AK29" s="10" t="str" cm="1">
        <f t="array" ref="AK29:AK37">IF(OR(AK$1="Sat",AK$1="Sun"),"X",_xlfn._xlws.FILTER($A$3:$A$20,(AK$3:AK$20&lt;&gt;"OFF")*($A$3:$A$20&lt;&gt;"")))</f>
        <v>Evan Liu</v>
      </c>
      <c r="AL29" s="10" t="str" cm="1">
        <f t="array" ref="AL29:AL34">IF(OR(AL$1="Sat",AL$1="Sun"),"X",_xlfn._xlws.FILTER($A$3:$A$20,(AL$3:AL$20&lt;&gt;"OFF")*($A$3:$A$20&lt;&gt;"")))</f>
        <v>Jian Kai Ding</v>
      </c>
      <c r="AM29" s="10" t="str" cm="1">
        <f t="array" ref="AM29:AM35">IF(OR(AM$1="Sat",AM$1="Sun"),"X",_xlfn._xlws.FILTER($A$3:$A$20,(AM$3:AM$20&lt;&gt;"OFF")*($A$3:$A$20&lt;&gt;"")))</f>
        <v>Jian Kai Ding</v>
      </c>
      <c r="AN29" s="10" t="str" cm="1">
        <f t="array" ref="AN29:AN34">IF(OR(AN$1="Sat",AN$1="Sun"),"X",_xlfn._xlws.FILTER($A$3:$A$20,(AN$3:AN$20&lt;&gt;"OFF")*($A$3:$A$20&lt;&gt;"")))</f>
        <v>Evan Liu</v>
      </c>
    </row>
    <row r="30" spans="1:44" ht="16.5" hidden="1" customHeight="1">
      <c r="I30" s="10"/>
      <c r="J30" s="10" t="str">
        <v>Jian Kai Ding</v>
      </c>
      <c r="K30" s="10" t="str">
        <v>Sherry Lin</v>
      </c>
      <c r="L30" s="10" t="str">
        <v>Sherry Lin</v>
      </c>
      <c r="O30" s="10" t="str">
        <v>Jian Kai Ding</v>
      </c>
      <c r="P30" s="10" t="str">
        <v>Jian Kai Ding</v>
      </c>
      <c r="Q30" s="10" t="str">
        <v>Sherry Lin</v>
      </c>
      <c r="R30" s="10" t="str">
        <v>Sherry Lin</v>
      </c>
      <c r="S30" s="10" t="str">
        <v>Sherry Lin</v>
      </c>
      <c r="V30" s="10" t="str">
        <v>Jian Kai Ding</v>
      </c>
      <c r="W30" s="10" t="str">
        <v>Jian Kai Ding</v>
      </c>
      <c r="X30" s="10" t="str">
        <v>Sherry Lin</v>
      </c>
      <c r="Y30" s="10" t="str">
        <v>Sherry Lin</v>
      </c>
      <c r="Z30" s="10" t="str">
        <v>Sherry Lin</v>
      </c>
      <c r="AC30" s="10" t="str">
        <v>Jian Kai Ding</v>
      </c>
      <c r="AD30" s="10" t="str">
        <v>Jian Kai Ding</v>
      </c>
      <c r="AE30" s="10" t="str">
        <v>Sherry Lin</v>
      </c>
      <c r="AF30" s="10" t="str">
        <v>Sherry Lin</v>
      </c>
      <c r="AG30" s="10" t="str">
        <v>Sherry Lin</v>
      </c>
      <c r="AJ30" s="10" t="str">
        <v>Jian Kai Ding</v>
      </c>
      <c r="AK30" s="10" t="str">
        <v>Jian Kai Ding</v>
      </c>
      <c r="AL30" s="10" t="str">
        <v>Sherry Lin</v>
      </c>
      <c r="AM30" s="10" t="str">
        <v>Sherry Lin</v>
      </c>
      <c r="AN30" s="10" t="str">
        <v>Sherry Lin</v>
      </c>
    </row>
    <row r="31" spans="1:44" ht="16.5" hidden="1" customHeight="1">
      <c r="J31" s="10" t="str">
        <v>Sherry Lin</v>
      </c>
      <c r="K31" s="10" t="str">
        <v>Alex Chen</v>
      </c>
      <c r="L31" s="10" t="str">
        <v>Amber Wang</v>
      </c>
      <c r="O31" s="10" t="str">
        <v>Amber Wang</v>
      </c>
      <c r="P31" s="10" t="str">
        <v>Sherry Lin</v>
      </c>
      <c r="Q31" s="10" t="str">
        <v>Alex Chen</v>
      </c>
      <c r="R31" s="10" t="str">
        <v>Alex Chen</v>
      </c>
      <c r="S31" s="10" t="str">
        <v>Amber Wang</v>
      </c>
      <c r="V31" s="10" t="str">
        <v>Amber Wang</v>
      </c>
      <c r="W31" s="10" t="str">
        <v>Sherry Lin</v>
      </c>
      <c r="X31" s="10" t="str">
        <v>Alex Chen</v>
      </c>
      <c r="Y31" s="10" t="str">
        <v>Alex Chen</v>
      </c>
      <c r="Z31" s="10" t="str">
        <v>Amber Wang</v>
      </c>
      <c r="AC31" s="10" t="str">
        <v>Amber Wang</v>
      </c>
      <c r="AD31" s="10" t="str">
        <v>Sherry Lin</v>
      </c>
      <c r="AE31" s="10" t="str">
        <v>Alex Chen</v>
      </c>
      <c r="AF31" s="10" t="str">
        <v>Alex Chen</v>
      </c>
      <c r="AG31" s="10" t="str">
        <v>Amber Wang</v>
      </c>
      <c r="AJ31" s="10" t="str">
        <v>Amber Wang</v>
      </c>
      <c r="AK31" s="10" t="str">
        <v>Sherry Lin</v>
      </c>
      <c r="AL31" s="10" t="str">
        <v>Alex Chen</v>
      </c>
      <c r="AM31" s="10" t="str">
        <v>Alex Chen</v>
      </c>
      <c r="AN31" s="10" t="str">
        <v>Amber Wang</v>
      </c>
    </row>
    <row r="32" spans="1:44" ht="16.5" hidden="1" customHeight="1">
      <c r="J32" s="10" t="str">
        <v>Amber Wang</v>
      </c>
      <c r="K32" s="10" t="str">
        <v>Jacky Lee</v>
      </c>
      <c r="L32" s="10" t="str">
        <v>Jacky Lee</v>
      </c>
      <c r="O32" s="10" t="str">
        <v>Alex Chen</v>
      </c>
      <c r="P32" s="10" t="str">
        <v>Amber Wang</v>
      </c>
      <c r="Q32" s="10" t="str">
        <v>Jacky Lee</v>
      </c>
      <c r="R32" s="10" t="str">
        <v>Jacky Lee</v>
      </c>
      <c r="S32" s="10" t="str">
        <v>Jacky Lee</v>
      </c>
      <c r="V32" s="10" t="str">
        <v>Alex Chen</v>
      </c>
      <c r="W32" s="10" t="str">
        <v>Amber Wang</v>
      </c>
      <c r="X32" s="10" t="str">
        <v>Jacky Lee</v>
      </c>
      <c r="Y32" s="10" t="str">
        <v>Jacky Lee</v>
      </c>
      <c r="Z32" s="10" t="str">
        <v>Jacky Lee</v>
      </c>
      <c r="AC32" s="10" t="str">
        <v>Alex Chen</v>
      </c>
      <c r="AD32" s="10" t="str">
        <v>Amber Wang</v>
      </c>
      <c r="AE32" s="10" t="str">
        <v>Jacky Lee</v>
      </c>
      <c r="AF32" s="10" t="str">
        <v>Jacky Lee</v>
      </c>
      <c r="AG32" s="10" t="str">
        <v>Jacky Lee</v>
      </c>
      <c r="AJ32" s="10" t="str">
        <v>Alex Chen</v>
      </c>
      <c r="AK32" s="10" t="str">
        <v>Amber Wang</v>
      </c>
      <c r="AL32" s="10" t="str">
        <v>Jacky Lee</v>
      </c>
      <c r="AM32" s="10" t="str">
        <v>Jacky Lee</v>
      </c>
      <c r="AN32" s="10" t="str">
        <v>Jacky Lee</v>
      </c>
    </row>
    <row r="33" spans="10:40" ht="16.5" hidden="1" customHeight="1">
      <c r="J33" s="10" t="str">
        <v>Alex Chen</v>
      </c>
      <c r="K33" s="10" t="str">
        <v>Howard Chen</v>
      </c>
      <c r="L33" s="10" t="str">
        <v>Rex Liao</v>
      </c>
      <c r="O33" s="10" t="str">
        <v>Rex Liao</v>
      </c>
      <c r="P33" s="10" t="str">
        <v>Alex Chen</v>
      </c>
      <c r="Q33" s="10" t="str">
        <v>Howard Chen</v>
      </c>
      <c r="R33" s="10" t="str">
        <v>Howard Chen</v>
      </c>
      <c r="S33" s="10" t="str">
        <v>Rex Liao</v>
      </c>
      <c r="V33" s="10" t="str">
        <v>Rex Liao</v>
      </c>
      <c r="W33" s="10" t="str">
        <v>Alex Chen</v>
      </c>
      <c r="X33" s="10" t="str">
        <v>Howard Chen</v>
      </c>
      <c r="Y33" s="46" t="str">
        <v>Howard Chen</v>
      </c>
      <c r="Z33" s="46" t="str">
        <v>Rex Liao</v>
      </c>
      <c r="AC33" s="10" t="str">
        <v>Rex Liao</v>
      </c>
      <c r="AD33" s="10" t="str">
        <v>Alex Chen</v>
      </c>
      <c r="AE33" s="10" t="str">
        <v>Howard Chen</v>
      </c>
      <c r="AF33" s="10" t="str">
        <v>Howard Chen</v>
      </c>
      <c r="AG33" s="10" t="str">
        <v>Rex Liao</v>
      </c>
      <c r="AJ33" s="10" t="str">
        <v>Rex Liao</v>
      </c>
      <c r="AK33" s="10" t="str">
        <v>Alex Chen</v>
      </c>
      <c r="AL33" s="10" t="str">
        <v>Howard Chen</v>
      </c>
      <c r="AM33" s="10" t="str">
        <v>Rex Liao</v>
      </c>
      <c r="AN33" s="10" t="str">
        <v>Rex Liao</v>
      </c>
    </row>
    <row r="34" spans="10:40" ht="16.5" hidden="1" customHeight="1">
      <c r="J34" s="10" t="str">
        <v>Howard Chen</v>
      </c>
      <c r="K34" s="10" t="str">
        <v>Molly Song</v>
      </c>
      <c r="L34" s="10" t="str">
        <v>Molly Song</v>
      </c>
      <c r="O34" s="10" t="str">
        <v>Howard Chen</v>
      </c>
      <c r="P34" s="10" t="str">
        <v>Jacky Lee</v>
      </c>
      <c r="Q34" s="10" t="str">
        <v>Molly Song</v>
      </c>
      <c r="R34" s="10" t="str">
        <v>Molly Song</v>
      </c>
      <c r="S34" s="10" t="str">
        <v>Molly Song</v>
      </c>
      <c r="V34" s="10" t="str">
        <v>Howard Chen</v>
      </c>
      <c r="W34" s="10" t="str">
        <v>Jacky Lee</v>
      </c>
      <c r="X34" s="10" t="str">
        <v>Molly Song</v>
      </c>
      <c r="Y34" s="10" t="str">
        <v>Molly Song</v>
      </c>
      <c r="Z34" s="10" t="str">
        <v>Molly Song</v>
      </c>
      <c r="AC34" s="10" t="str">
        <v>Howard Chen</v>
      </c>
      <c r="AD34" s="10" t="str">
        <v>Jacky Lee</v>
      </c>
      <c r="AE34" s="10" t="str">
        <v>Molly Song</v>
      </c>
      <c r="AF34" s="10" t="str">
        <v>Molly Song</v>
      </c>
      <c r="AJ34" s="10" t="str">
        <v>Howard Chen</v>
      </c>
      <c r="AK34" s="10" t="str">
        <v>Jacky Lee</v>
      </c>
      <c r="AL34" s="10" t="str">
        <v>Molly Song</v>
      </c>
      <c r="AM34" s="10" t="str">
        <v>Howard Chen</v>
      </c>
      <c r="AN34" s="10" t="str">
        <v>Molly Song</v>
      </c>
    </row>
    <row r="35" spans="10:40" ht="16.5" hidden="1" customHeight="1">
      <c r="J35" s="10" t="str">
        <v>Molly Song</v>
      </c>
      <c r="O35" s="10" t="str">
        <v>Molly Song</v>
      </c>
      <c r="P35" s="10" t="str">
        <v>Rex Liao</v>
      </c>
      <c r="V35" s="10" t="str">
        <v>Molly Song</v>
      </c>
      <c r="W35" s="10" t="str">
        <v>Rex Liao</v>
      </c>
      <c r="AC35" s="10" t="str">
        <v>Molly Song</v>
      </c>
      <c r="AD35" s="10" t="str">
        <v>Rex Liao</v>
      </c>
      <c r="AJ35" s="10" t="str">
        <v>Molly Song</v>
      </c>
      <c r="AK35" s="10" t="str">
        <v>Rex Liao</v>
      </c>
      <c r="AM35" s="10" t="str">
        <v>Molly Song</v>
      </c>
    </row>
    <row r="36" spans="10:40" ht="16.5" hidden="1" customHeight="1">
      <c r="P36" s="10" t="str">
        <v>Howard Chen</v>
      </c>
      <c r="W36" s="10" t="str">
        <v>Howard Chen</v>
      </c>
      <c r="AD36" s="10" t="str">
        <v>Howard Chen</v>
      </c>
      <c r="AK36" s="10" t="str">
        <v>Howard Chen</v>
      </c>
    </row>
    <row r="37" spans="10:40" ht="16.5" hidden="1" customHeight="1">
      <c r="P37" s="10" t="str">
        <v>Molly Song</v>
      </c>
      <c r="W37" s="10" t="str">
        <v>Molly Song</v>
      </c>
      <c r="AD37" s="10" t="str">
        <v>Molly Song</v>
      </c>
      <c r="AK37" s="10" t="str">
        <v>Molly Song</v>
      </c>
    </row>
  </sheetData>
  <sheetProtection algorithmName="SHA-512" hashValue="23BNy+gE/+ny9BBtMUlpVbaenSBRXn13faykFWVJhZrfZ6z6DCYsyYMIWWGp9WmaMkVwzmUCz9uU/R0NtlELbg==" saltValue="mMfJkZHn2bJuHZgzCsU4/w==" spinCount="100000" sheet="1" objects="1" scenarios="1"/>
  <dataConsolidate/>
  <mergeCells count="88">
    <mergeCell ref="A7:A8"/>
    <mergeCell ref="B7:B8"/>
    <mergeCell ref="C7:C8"/>
    <mergeCell ref="D7:D12"/>
    <mergeCell ref="E8:I8"/>
    <mergeCell ref="A1:A2"/>
    <mergeCell ref="D1:D2"/>
    <mergeCell ref="E1:E2"/>
    <mergeCell ref="F1:F2"/>
    <mergeCell ref="G1:G2"/>
    <mergeCell ref="AQ5:AQ6"/>
    <mergeCell ref="E6:I6"/>
    <mergeCell ref="I1:I2"/>
    <mergeCell ref="AO1:AO2"/>
    <mergeCell ref="AP1:AP2"/>
    <mergeCell ref="AQ1:AQ2"/>
    <mergeCell ref="AO3:AO4"/>
    <mergeCell ref="AQ3:AQ4"/>
    <mergeCell ref="H1:H2"/>
    <mergeCell ref="E4:I4"/>
    <mergeCell ref="A5:A6"/>
    <mergeCell ref="B5:B6"/>
    <mergeCell ref="C5:C6"/>
    <mergeCell ref="AO5:AO6"/>
    <mergeCell ref="A3:A4"/>
    <mergeCell ref="B3:B4"/>
    <mergeCell ref="C3:C4"/>
    <mergeCell ref="D3:D6"/>
    <mergeCell ref="AQ9:AQ10"/>
    <mergeCell ref="E10:I10"/>
    <mergeCell ref="A11:A12"/>
    <mergeCell ref="B11:B12"/>
    <mergeCell ref="C11:C12"/>
    <mergeCell ref="A9:A10"/>
    <mergeCell ref="B9:B10"/>
    <mergeCell ref="C9:C10"/>
    <mergeCell ref="AO9:AO10"/>
    <mergeCell ref="AO11:AO12"/>
    <mergeCell ref="AQ11:AQ12"/>
    <mergeCell ref="E12:I12"/>
    <mergeCell ref="A13:A14"/>
    <mergeCell ref="B13:B14"/>
    <mergeCell ref="C13:C14"/>
    <mergeCell ref="D13:D18"/>
    <mergeCell ref="AO13:AO14"/>
    <mergeCell ref="A15:A16"/>
    <mergeCell ref="B15:B16"/>
    <mergeCell ref="C15:C16"/>
    <mergeCell ref="AQ13:AQ14"/>
    <mergeCell ref="E14:I14"/>
    <mergeCell ref="AO17:AO18"/>
    <mergeCell ref="AQ17:AQ18"/>
    <mergeCell ref="E18:I18"/>
    <mergeCell ref="AO15:AO16"/>
    <mergeCell ref="AQ15:AQ16"/>
    <mergeCell ref="E16:I16"/>
    <mergeCell ref="A21:D21"/>
    <mergeCell ref="E21:I21"/>
    <mergeCell ref="A17:A18"/>
    <mergeCell ref="B17:B18"/>
    <mergeCell ref="C17:C18"/>
    <mergeCell ref="A19:A20"/>
    <mergeCell ref="B19:B20"/>
    <mergeCell ref="C19:C20"/>
    <mergeCell ref="D19:D20"/>
    <mergeCell ref="E20:I20"/>
    <mergeCell ref="H27:I27"/>
    <mergeCell ref="AO7:AO8"/>
    <mergeCell ref="AO19:AO20"/>
    <mergeCell ref="H25:I25"/>
    <mergeCell ref="H24:I24"/>
    <mergeCell ref="H26:I26"/>
    <mergeCell ref="A22:D22"/>
    <mergeCell ref="E22:I22"/>
    <mergeCell ref="A23:D23"/>
    <mergeCell ref="E23:I23"/>
    <mergeCell ref="AR1:AR2"/>
    <mergeCell ref="AR3:AR4"/>
    <mergeCell ref="AR5:AR6"/>
    <mergeCell ref="AR7:AR8"/>
    <mergeCell ref="AQ7:AQ8"/>
    <mergeCell ref="AQ19:AQ20"/>
    <mergeCell ref="AR9:AR10"/>
    <mergeCell ref="AR11:AR12"/>
    <mergeCell ref="AR13:AR14"/>
    <mergeCell ref="AR15:AR16"/>
    <mergeCell ref="AR17:AR18"/>
    <mergeCell ref="AR19:AR20"/>
  </mergeCells>
  <phoneticPr fontId="8" type="noConversion"/>
  <conditionalFormatting sqref="A1:XFD1048576">
    <cfRule type="cellIs" dxfId="54" priority="1" operator="equal">
      <formula>"PTO-Half"</formula>
    </cfRule>
  </conditionalFormatting>
  <conditionalFormatting sqref="D13">
    <cfRule type="containsText" dxfId="53" priority="171" operator="containsText" text="上課">
      <formula>NOT(ISERROR(SEARCH("上課",D13)))</formula>
    </cfRule>
  </conditionalFormatting>
  <conditionalFormatting sqref="F3 F5 F9 F11 F13 F15 F17">
    <cfRule type="cellIs" dxfId="52" priority="172" operator="notEqual">
      <formula>$C$2</formula>
    </cfRule>
  </conditionalFormatting>
  <conditionalFormatting sqref="F7">
    <cfRule type="cellIs" dxfId="51" priority="90" operator="notEqual">
      <formula>$C$2</formula>
    </cfRule>
  </conditionalFormatting>
  <conditionalFormatting sqref="F19">
    <cfRule type="cellIs" dxfId="50" priority="33" operator="notEqual">
      <formula>$C$2</formula>
    </cfRule>
  </conditionalFormatting>
  <conditionalFormatting sqref="J3:AN3 J5:AN5 J9:AN9 J11:AN11 J13:AN13 J15:AN15 J17:AN17">
    <cfRule type="cellIs" dxfId="48" priority="67" operator="equal">
      <formula>"12:00"</formula>
    </cfRule>
  </conditionalFormatting>
  <conditionalFormatting sqref="J3:AN20">
    <cfRule type="cellIs" dxfId="47" priority="6" operator="equal">
      <formula>"LOA"</formula>
    </cfRule>
    <cfRule type="cellIs" dxfId="46" priority="7" operator="equal">
      <formula>"AL"</formula>
    </cfRule>
    <cfRule type="cellIs" dxfId="45" priority="8" operator="equal">
      <formula>"SL"</formula>
    </cfRule>
    <cfRule type="cellIs" dxfId="44" priority="9" operator="equal">
      <formula>"PTO"</formula>
    </cfRule>
    <cfRule type="cellIs" dxfId="43" priority="10" operator="equal">
      <formula>"OFF"</formula>
    </cfRule>
    <cfRule type="cellIs" dxfId="42" priority="12" operator="equal">
      <formula>"11:00"</formula>
    </cfRule>
    <cfRule type="cellIs" dxfId="41" priority="13" operator="equal">
      <formula>"15:00"</formula>
    </cfRule>
    <cfRule type="cellIs" dxfId="40" priority="14" operator="equal">
      <formula>"08:00"</formula>
    </cfRule>
  </conditionalFormatting>
  <conditionalFormatting sqref="J7:AN7">
    <cfRule type="cellIs" dxfId="39" priority="3" operator="equal">
      <formula>"12:00"</formula>
    </cfRule>
  </conditionalFormatting>
  <conditionalFormatting sqref="J19:AN19">
    <cfRule type="cellIs" dxfId="38" priority="11" operator="equal">
      <formula>"12:00"</formula>
    </cfRule>
  </conditionalFormatting>
  <conditionalFormatting sqref="J21:AN23">
    <cfRule type="cellIs" dxfId="37" priority="151" operator="lessThan">
      <formula>0</formula>
    </cfRule>
  </conditionalFormatting>
  <conditionalFormatting sqref="J24:AN26">
    <cfRule type="cellIs" dxfId="36" priority="173" operator="lessThanOrEqual">
      <formula>0</formula>
    </cfRule>
  </conditionalFormatting>
  <conditionalFormatting sqref="N7:O7">
    <cfRule type="cellIs" dxfId="35" priority="46" operator="equal">
      <formula>"11:00"</formula>
    </cfRule>
    <cfRule type="cellIs" dxfId="34" priority="47" operator="equal">
      <formula>"15:00"</formula>
    </cfRule>
    <cfRule type="cellIs" dxfId="33" priority="48" operator="equal">
      <formula>"08:00"</formula>
    </cfRule>
  </conditionalFormatting>
  <conditionalFormatting sqref="O19">
    <cfRule type="cellIs" dxfId="32" priority="2" operator="equal">
      <formula>"Half-PTO"</formula>
    </cfRule>
  </conditionalFormatting>
  <conditionalFormatting sqref="AO3:AP3">
    <cfRule type="containsText" dxfId="31" priority="143" operator="containsText" text="OK">
      <formula>NOT(ISERROR(SEARCH("OK",AO3)))</formula>
    </cfRule>
    <cfRule type="containsText" dxfId="30" priority="144" operator="containsText" text="X">
      <formula>NOT(ISERROR(SEARCH("X",AO3)))</formula>
    </cfRule>
  </conditionalFormatting>
  <conditionalFormatting sqref="AO5:AP5 AO7:AP7">
    <cfRule type="containsText" dxfId="29" priority="128" operator="containsText" text="X">
      <formula>NOT(ISERROR(SEARCH("X",AO5)))</formula>
    </cfRule>
    <cfRule type="containsText" dxfId="28" priority="127" operator="containsText" text="OK">
      <formula>NOT(ISERROR(SEARCH("OK",AO5)))</formula>
    </cfRule>
  </conditionalFormatting>
  <conditionalFormatting sqref="AO9:AP9">
    <cfRule type="containsText" dxfId="27" priority="125" operator="containsText" text="OK">
      <formula>NOT(ISERROR(SEARCH("OK",AO9)))</formula>
    </cfRule>
    <cfRule type="containsText" dxfId="26" priority="126" operator="containsText" text="X">
      <formula>NOT(ISERROR(SEARCH("X",AO9)))</formula>
    </cfRule>
  </conditionalFormatting>
  <conditionalFormatting sqref="AO11:AP11">
    <cfRule type="containsText" dxfId="25" priority="123" operator="containsText" text="OK">
      <formula>NOT(ISERROR(SEARCH("OK",AO11)))</formula>
    </cfRule>
    <cfRule type="containsText" dxfId="24" priority="124" operator="containsText" text="X">
      <formula>NOT(ISERROR(SEARCH("X",AO11)))</formula>
    </cfRule>
  </conditionalFormatting>
  <conditionalFormatting sqref="AO13:AP13">
    <cfRule type="containsText" dxfId="23" priority="122" operator="containsText" text="X">
      <formula>NOT(ISERROR(SEARCH("X",AO13)))</formula>
    </cfRule>
    <cfRule type="containsText" dxfId="22" priority="121" operator="containsText" text="OK">
      <formula>NOT(ISERROR(SEARCH("OK",AO13)))</formula>
    </cfRule>
  </conditionalFormatting>
  <conditionalFormatting sqref="AO15:AP15">
    <cfRule type="containsText" dxfId="21" priority="120" operator="containsText" text="X">
      <formula>NOT(ISERROR(SEARCH("X",AO15)))</formula>
    </cfRule>
    <cfRule type="containsText" dxfId="20" priority="119" operator="containsText" text="OK">
      <formula>NOT(ISERROR(SEARCH("OK",AO15)))</formula>
    </cfRule>
  </conditionalFormatting>
  <conditionalFormatting sqref="AO17:AP17 AO19:AP19">
    <cfRule type="containsText" dxfId="19" priority="118" operator="containsText" text="X">
      <formula>NOT(ISERROR(SEARCH("X",AO17)))</formula>
    </cfRule>
    <cfRule type="containsText" dxfId="18" priority="117" operator="containsText" text="OK">
      <formula>NOT(ISERROR(SEARCH("OK",AO17)))</formula>
    </cfRule>
  </conditionalFormatting>
  <conditionalFormatting sqref="AP4">
    <cfRule type="cellIs" dxfId="17" priority="142" operator="equal">
      <formula>"X"</formula>
    </cfRule>
  </conditionalFormatting>
  <conditionalFormatting sqref="AP6 AP8">
    <cfRule type="cellIs" dxfId="16" priority="145" operator="equal">
      <formula>"X"</formula>
    </cfRule>
  </conditionalFormatting>
  <conditionalFormatting sqref="AP10 AP12 AP14 AP16 AP18 AP20">
    <cfRule type="cellIs" dxfId="15" priority="141" operator="equal">
      <formula>"X"</formula>
    </cfRule>
  </conditionalFormatting>
  <conditionalFormatting sqref="AP21:AQ23">
    <cfRule type="containsText" dxfId="14" priority="149" operator="containsText" text="OK">
      <formula>NOT(ISERROR(SEARCH("OK",AP21)))</formula>
    </cfRule>
    <cfRule type="containsText" dxfId="13" priority="150" operator="containsText" text="X">
      <formula>NOT(ISERROR(SEARCH("X",AP21)))</formula>
    </cfRule>
  </conditionalFormatting>
  <dataValidations count="2">
    <dataValidation type="custom" allowBlank="1" showInputMessage="1" showErrorMessage="1" error="該同仁本日排休 OFF，不可排值日！" sqref="AH22:AI23" xr:uid="{274A8ACF-B4B1-4E8C-A822-2644222D1E2E}">
      <formula1>SUMPRODUCT(($A$4:$A$19=AH22)*(AH$4:AH$19="OFF"))=0</formula1>
    </dataValidation>
    <dataValidation type="list" allowBlank="1" showInputMessage="1" showErrorMessage="1" error="該同仁本日排休 OFF，不可排值日！" sqref="AJ22:AN23 J22:AG23" xr:uid="{0F908F88-B820-4253-AABC-A16AF1C07004}">
      <formula1>_xlfn.ANCHORARRAY(J$29)</formula1>
    </dataValidation>
  </dataValidations>
  <pageMargins left="0.7" right="0.7" top="0.75" bottom="0.75" header="0.3" footer="0.3"/>
  <pageSetup paperSize="9" orientation="portrait" r:id="rId1"/>
  <ignoredErrors>
    <ignoredError sqref="R11" formula="1"/>
  </ignoredError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4" id="{8F28D3F1-8ED3-44C9-82F2-FFE8B064DB3E}">
            <xm:f>OR(COUNTIF(國定假日!$A:$A, J$2)&gt;0, J$1="Sat", J$1="Sun")</xm:f>
            <x14:dxf>
              <font>
                <color rgb="FFFF0000"/>
              </font>
            </x14:dxf>
          </x14:cfRule>
          <xm:sqref>J1:AN2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C1BBF78-C027-43CC-9E92-B7037F9A25E6}">
          <x14:formula1>
            <xm:f>List!$F$1:$F$7</xm:f>
          </x14:formula1>
          <xm:sqref>AP3 AP5 AP9 AP11 AP13 AP15 AP17 AP7 AP19</xm:sqref>
        </x14:dataValidation>
        <x14:dataValidation type="list" allowBlank="1" showInputMessage="1" showErrorMessage="1" xr:uid="{DF8BB2C7-EBAB-4095-918D-540B58D9D292}">
          <x14:formula1>
            <xm:f>List!$A$2:$A$9</xm:f>
          </x14:formula1>
          <xm:sqref>A3:A18</xm:sqref>
        </x14:dataValidation>
        <x14:dataValidation type="list" allowBlank="1" showInputMessage="1" showErrorMessage="1" xr:uid="{B976D6E6-9EAC-419B-AE12-FA81DE96E161}">
          <x14:formula1>
            <xm:f>List!$A$2:$A$10</xm:f>
          </x14:formula1>
          <xm:sqref>A19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744A-0A9E-4415-BAD2-21FB000D690C}">
  <dimension ref="A1:T14"/>
  <sheetViews>
    <sheetView zoomScale="120" zoomScaleNormal="120" workbookViewId="0"/>
  </sheetViews>
  <sheetFormatPr defaultColWidth="9.125" defaultRowHeight="18"/>
  <cols>
    <col min="1" max="1" width="18.25" style="6" bestFit="1" customWidth="1"/>
    <col min="2" max="2" width="8" style="8" customWidth="1"/>
    <col min="3" max="3" width="8.25" style="8" customWidth="1"/>
    <col min="4" max="17" width="9.125" style="6"/>
    <col min="18" max="18" width="9.125" style="6" customWidth="1"/>
    <col min="19" max="19" width="11.125" style="6" customWidth="1"/>
    <col min="20" max="16384" width="9.125" style="6"/>
  </cols>
  <sheetData>
    <row r="1" spans="1:20" ht="19.8">
      <c r="A1" s="33" t="s">
        <v>46</v>
      </c>
      <c r="B1" s="33" t="s">
        <v>17</v>
      </c>
      <c r="C1" s="33" t="s">
        <v>6</v>
      </c>
      <c r="D1" s="13" t="s">
        <v>47</v>
      </c>
      <c r="E1" s="14" t="s">
        <v>48</v>
      </c>
      <c r="F1" s="14" t="s">
        <v>49</v>
      </c>
      <c r="G1" s="14" t="s">
        <v>50</v>
      </c>
      <c r="H1" s="14" t="s">
        <v>51</v>
      </c>
      <c r="I1" s="14" t="s">
        <v>52</v>
      </c>
      <c r="J1" s="14" t="s">
        <v>53</v>
      </c>
      <c r="K1" s="14" t="s">
        <v>54</v>
      </c>
      <c r="L1" s="14" t="s">
        <v>55</v>
      </c>
      <c r="M1" s="14" t="s">
        <v>56</v>
      </c>
      <c r="N1" s="14" t="s">
        <v>57</v>
      </c>
      <c r="O1" s="14" t="s">
        <v>58</v>
      </c>
      <c r="P1" s="14" t="s">
        <v>59</v>
      </c>
      <c r="Q1" s="15" t="s">
        <v>60</v>
      </c>
      <c r="R1" s="13" t="s">
        <v>17</v>
      </c>
      <c r="S1" s="13" t="s">
        <v>6</v>
      </c>
      <c r="T1" s="15" t="s">
        <v>61</v>
      </c>
    </row>
    <row r="2" spans="1:20">
      <c r="A2" s="16" t="s">
        <v>36</v>
      </c>
      <c r="B2" s="16">
        <v>14.5</v>
      </c>
      <c r="C2" s="16">
        <v>6</v>
      </c>
      <c r="D2" s="16">
        <f t="shared" ref="D2:D10" si="0">B2+C2</f>
        <v>20.5</v>
      </c>
      <c r="E2" s="16">
        <v>1</v>
      </c>
      <c r="F2" s="16"/>
      <c r="G2" s="16"/>
      <c r="H2" s="16">
        <v>2</v>
      </c>
      <c r="I2" s="16">
        <v>1.5</v>
      </c>
      <c r="J2" s="16">
        <v>1</v>
      </c>
      <c r="K2" s="16"/>
      <c r="L2" s="16"/>
      <c r="M2" s="16"/>
      <c r="N2" s="16"/>
      <c r="O2" s="16"/>
      <c r="P2" s="16"/>
      <c r="Q2" s="85">
        <f t="shared" ref="Q2:Q10" si="1">SUM(E2:P2)</f>
        <v>5.5</v>
      </c>
      <c r="R2" s="16">
        <f>IF(T2 &lt;= C2, 0, MIN(B2, T2 - C2))</f>
        <v>9</v>
      </c>
      <c r="S2" s="16">
        <f t="shared" ref="S2:S10" si="2">IF(T2 &lt;= C2, T2, C2)</f>
        <v>6</v>
      </c>
      <c r="T2" s="16">
        <f t="shared" ref="T2:T10" si="3">D2-Q2</f>
        <v>15</v>
      </c>
    </row>
    <row r="3" spans="1:20">
      <c r="A3" s="7" t="s">
        <v>11</v>
      </c>
      <c r="B3" s="7">
        <v>15</v>
      </c>
      <c r="C3" s="7">
        <v>6</v>
      </c>
      <c r="D3" s="7">
        <f t="shared" si="0"/>
        <v>21</v>
      </c>
      <c r="E3" s="7">
        <v>2</v>
      </c>
      <c r="F3" s="7"/>
      <c r="G3" s="7">
        <v>3</v>
      </c>
      <c r="H3" s="7"/>
      <c r="I3" s="7">
        <v>1</v>
      </c>
      <c r="J3" s="7">
        <v>3</v>
      </c>
      <c r="K3" s="7"/>
      <c r="L3" s="7"/>
      <c r="M3" s="7"/>
      <c r="N3" s="7"/>
      <c r="O3" s="7"/>
      <c r="P3" s="7"/>
      <c r="Q3" s="7">
        <f t="shared" si="1"/>
        <v>9</v>
      </c>
      <c r="R3" s="7">
        <f t="shared" ref="R3:R10" si="4">IF(T3 &lt;= C3, 0, MIN(B3, T3 - C3))</f>
        <v>6</v>
      </c>
      <c r="S3" s="7">
        <f t="shared" si="2"/>
        <v>6</v>
      </c>
      <c r="T3" s="7">
        <f t="shared" si="3"/>
        <v>12</v>
      </c>
    </row>
    <row r="4" spans="1:20">
      <c r="A4" s="16" t="s">
        <v>27</v>
      </c>
      <c r="B4" s="16">
        <v>14.5</v>
      </c>
      <c r="C4" s="16">
        <v>6</v>
      </c>
      <c r="D4" s="16">
        <f t="shared" si="0"/>
        <v>20.5</v>
      </c>
      <c r="E4" s="16"/>
      <c r="F4" s="16"/>
      <c r="G4" s="16">
        <v>4</v>
      </c>
      <c r="H4" s="16"/>
      <c r="I4" s="16">
        <v>3</v>
      </c>
      <c r="J4" s="16">
        <v>0.5</v>
      </c>
      <c r="K4" s="16">
        <v>1</v>
      </c>
      <c r="L4" s="16"/>
      <c r="M4" s="16"/>
      <c r="N4" s="16"/>
      <c r="O4" s="16"/>
      <c r="P4" s="16"/>
      <c r="Q4" s="16">
        <f t="shared" si="1"/>
        <v>8.5</v>
      </c>
      <c r="R4" s="16">
        <f t="shared" si="4"/>
        <v>6</v>
      </c>
      <c r="S4" s="16">
        <f t="shared" si="2"/>
        <v>6</v>
      </c>
      <c r="T4" s="16">
        <f t="shared" si="3"/>
        <v>12</v>
      </c>
    </row>
    <row r="5" spans="1:20">
      <c r="A5" s="7" t="s">
        <v>31</v>
      </c>
      <c r="B5" s="7">
        <v>14</v>
      </c>
      <c r="C5" s="7">
        <v>6</v>
      </c>
      <c r="D5" s="7">
        <f t="shared" si="0"/>
        <v>20</v>
      </c>
      <c r="E5" s="7"/>
      <c r="F5" s="7">
        <v>3</v>
      </c>
      <c r="G5" s="7">
        <v>1</v>
      </c>
      <c r="H5" s="7"/>
      <c r="I5" s="7">
        <v>2</v>
      </c>
      <c r="J5" s="7">
        <v>1</v>
      </c>
      <c r="K5" s="7">
        <v>2</v>
      </c>
      <c r="L5" s="7"/>
      <c r="M5" s="7"/>
      <c r="N5" s="7"/>
      <c r="O5" s="7"/>
      <c r="P5" s="7"/>
      <c r="Q5" s="7">
        <f t="shared" si="1"/>
        <v>9</v>
      </c>
      <c r="R5" s="7">
        <f t="shared" si="4"/>
        <v>5</v>
      </c>
      <c r="S5" s="7">
        <f t="shared" si="2"/>
        <v>6</v>
      </c>
      <c r="T5" s="7">
        <f t="shared" si="3"/>
        <v>11</v>
      </c>
    </row>
    <row r="6" spans="1:20">
      <c r="A6" s="16" t="s">
        <v>22</v>
      </c>
      <c r="B6" s="16">
        <v>16</v>
      </c>
      <c r="C6" s="16">
        <v>6</v>
      </c>
      <c r="D6" s="16">
        <f t="shared" si="0"/>
        <v>22</v>
      </c>
      <c r="E6" s="16">
        <v>1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>
        <f t="shared" si="1"/>
        <v>1</v>
      </c>
      <c r="R6" s="16">
        <f t="shared" si="4"/>
        <v>15</v>
      </c>
      <c r="S6" s="16">
        <f t="shared" si="2"/>
        <v>6</v>
      </c>
      <c r="T6" s="16">
        <f t="shared" si="3"/>
        <v>21</v>
      </c>
    </row>
    <row r="7" spans="1:20">
      <c r="A7" s="7" t="s">
        <v>29</v>
      </c>
      <c r="B7" s="7">
        <v>8.5</v>
      </c>
      <c r="C7" s="7">
        <v>6</v>
      </c>
      <c r="D7" s="7">
        <f t="shared" si="0"/>
        <v>14.5</v>
      </c>
      <c r="E7" s="7"/>
      <c r="F7" s="7">
        <v>1</v>
      </c>
      <c r="G7" s="7"/>
      <c r="H7" s="7">
        <v>1</v>
      </c>
      <c r="I7" s="7">
        <v>2</v>
      </c>
      <c r="J7" s="7">
        <v>2</v>
      </c>
      <c r="K7" s="7">
        <v>1</v>
      </c>
      <c r="L7" s="7"/>
      <c r="M7" s="7"/>
      <c r="N7" s="7"/>
      <c r="O7" s="7"/>
      <c r="P7" s="7"/>
      <c r="Q7" s="7">
        <f t="shared" si="1"/>
        <v>7</v>
      </c>
      <c r="R7" s="7">
        <f t="shared" si="4"/>
        <v>1.5</v>
      </c>
      <c r="S7" s="7">
        <f t="shared" si="2"/>
        <v>6</v>
      </c>
      <c r="T7" s="7">
        <f t="shared" si="3"/>
        <v>7.5</v>
      </c>
    </row>
    <row r="8" spans="1:20">
      <c r="A8" s="16" t="s">
        <v>44</v>
      </c>
      <c r="B8" s="16">
        <v>16</v>
      </c>
      <c r="C8" s="16">
        <v>6</v>
      </c>
      <c r="D8" s="16">
        <f t="shared" si="0"/>
        <v>22</v>
      </c>
      <c r="E8" s="16">
        <v>1</v>
      </c>
      <c r="F8" s="16">
        <v>2</v>
      </c>
      <c r="G8" s="16"/>
      <c r="H8" s="16">
        <v>2</v>
      </c>
      <c r="I8" s="16">
        <v>1</v>
      </c>
      <c r="J8" s="16"/>
      <c r="K8" s="16">
        <v>3.5</v>
      </c>
      <c r="L8" s="16"/>
      <c r="M8" s="16"/>
      <c r="N8" s="16"/>
      <c r="O8" s="16"/>
      <c r="P8" s="16"/>
      <c r="Q8" s="16">
        <f t="shared" si="1"/>
        <v>9.5</v>
      </c>
      <c r="R8" s="16">
        <f t="shared" si="4"/>
        <v>6.5</v>
      </c>
      <c r="S8" s="16">
        <f t="shared" si="2"/>
        <v>6</v>
      </c>
      <c r="T8" s="16">
        <f t="shared" si="3"/>
        <v>12.5</v>
      </c>
    </row>
    <row r="9" spans="1:20">
      <c r="A9" s="7" t="s">
        <v>38</v>
      </c>
      <c r="B9" s="7">
        <v>8</v>
      </c>
      <c r="C9" s="7">
        <v>6</v>
      </c>
      <c r="D9" s="7">
        <f t="shared" si="0"/>
        <v>14</v>
      </c>
      <c r="E9" s="7"/>
      <c r="F9" s="7"/>
      <c r="G9" s="7"/>
      <c r="H9" s="7">
        <v>1</v>
      </c>
      <c r="I9" s="7">
        <v>4</v>
      </c>
      <c r="J9" s="7"/>
      <c r="K9" s="7"/>
      <c r="L9" s="7"/>
      <c r="M9" s="7"/>
      <c r="N9" s="7"/>
      <c r="O9" s="7"/>
      <c r="P9" s="7"/>
      <c r="Q9" s="7">
        <f t="shared" si="1"/>
        <v>5</v>
      </c>
      <c r="R9" s="7">
        <f t="shared" si="4"/>
        <v>3</v>
      </c>
      <c r="S9" s="7">
        <f t="shared" si="2"/>
        <v>6</v>
      </c>
      <c r="T9" s="7">
        <f t="shared" si="3"/>
        <v>9</v>
      </c>
    </row>
    <row r="10" spans="1:20">
      <c r="A10" s="16" t="s">
        <v>42</v>
      </c>
      <c r="B10" s="16">
        <v>15</v>
      </c>
      <c r="C10" s="16">
        <v>6</v>
      </c>
      <c r="D10" s="16">
        <f t="shared" si="0"/>
        <v>21</v>
      </c>
      <c r="E10" s="16">
        <v>0.5</v>
      </c>
      <c r="F10" s="16"/>
      <c r="G10" s="16">
        <v>1.5</v>
      </c>
      <c r="H10" s="16">
        <v>1</v>
      </c>
      <c r="I10" s="16">
        <v>2.5</v>
      </c>
      <c r="J10" s="16">
        <v>1</v>
      </c>
      <c r="K10" s="16">
        <v>1</v>
      </c>
      <c r="L10" s="16"/>
      <c r="M10" s="16"/>
      <c r="N10" s="16"/>
      <c r="O10" s="16"/>
      <c r="P10" s="16"/>
      <c r="Q10" s="16">
        <f t="shared" si="1"/>
        <v>7.5</v>
      </c>
      <c r="R10" s="16">
        <f t="shared" si="4"/>
        <v>7.5</v>
      </c>
      <c r="S10" s="16">
        <f t="shared" si="2"/>
        <v>6</v>
      </c>
      <c r="T10" s="16">
        <f t="shared" si="3"/>
        <v>13.5</v>
      </c>
    </row>
    <row r="12" spans="1:20">
      <c r="A12" s="151" t="s">
        <v>17</v>
      </c>
      <c r="B12" s="152"/>
      <c r="C12" s="151" t="s">
        <v>62</v>
      </c>
      <c r="D12" s="153"/>
      <c r="E12" s="152"/>
    </row>
    <row r="13" spans="1:20">
      <c r="A13" s="151" t="s">
        <v>6</v>
      </c>
      <c r="B13" s="152"/>
      <c r="C13" s="154" t="s">
        <v>63</v>
      </c>
      <c r="D13" s="155"/>
      <c r="E13" s="156"/>
    </row>
    <row r="14" spans="1:20">
      <c r="A14" s="6" t="s">
        <v>64</v>
      </c>
    </row>
  </sheetData>
  <sheetProtection algorithmName="SHA-512" hashValue="UsB0qxnrPelpEkrYkeliJC5uHcaZUSNuX5zKGmhBz5U/MNLCrsQeyYsplnW370XY+4xpLUmLXD8ze41AahFhtQ==" saltValue="Lsey2h2zEP2bDohO0pV1jA==" spinCount="100000" sheet="1" objects="1" scenarios="1"/>
  <sortState xmlns:xlrd2="http://schemas.microsoft.com/office/spreadsheetml/2017/richdata2" ref="A2:T10">
    <sortCondition ref="A2:A10"/>
  </sortState>
  <mergeCells count="4">
    <mergeCell ref="A12:B12"/>
    <mergeCell ref="C12:E12"/>
    <mergeCell ref="A13:B13"/>
    <mergeCell ref="C13:E13"/>
  </mergeCells>
  <phoneticPr fontId="8" type="noConversion"/>
  <conditionalFormatting sqref="T2:T10">
    <cfRule type="cellIs" dxfId="12" priority="3" operator="greaterThan">
      <formula>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B40C-B26B-4135-873C-F8B597663034}">
  <dimension ref="A1:AY26"/>
  <sheetViews>
    <sheetView zoomScale="70" zoomScaleNormal="70" workbookViewId="0"/>
  </sheetViews>
  <sheetFormatPr defaultColWidth="9" defaultRowHeight="18"/>
  <cols>
    <col min="1" max="1" width="13.75" style="6" bestFit="1" customWidth="1"/>
    <col min="2" max="32" width="8.125" style="6" customWidth="1"/>
    <col min="33" max="46" width="9" style="6"/>
    <col min="47" max="47" width="13.875" style="35" hidden="1" customWidth="1"/>
    <col min="48" max="48" width="24" style="35" hidden="1" customWidth="1"/>
    <col min="49" max="50" width="22" style="35" hidden="1" customWidth="1"/>
    <col min="51" max="51" width="19.25" style="35" hidden="1" customWidth="1"/>
    <col min="52" max="16384" width="9" style="6"/>
  </cols>
  <sheetData>
    <row r="1" spans="1:51" ht="140.25" customHeight="1">
      <c r="B1" s="162" t="s">
        <v>65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52"/>
      <c r="AC1" s="157" t="s">
        <v>66</v>
      </c>
      <c r="AD1" s="157"/>
      <c r="AE1" s="157"/>
      <c r="AF1" s="157"/>
    </row>
    <row r="2" spans="1:51" ht="26.4">
      <c r="A2" s="8" t="s">
        <v>67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U2" s="34" t="s">
        <v>68</v>
      </c>
      <c r="AV2" s="34" t="s">
        <v>69</v>
      </c>
      <c r="AW2" s="34" t="s">
        <v>70</v>
      </c>
      <c r="AX2" s="34" t="s">
        <v>71</v>
      </c>
      <c r="AY2" s="34" t="s">
        <v>72</v>
      </c>
    </row>
    <row r="3" spans="1:51" hidden="1">
      <c r="A3" s="160" t="s">
        <v>73</v>
      </c>
      <c r="B3" s="19" t="str">
        <f t="shared" ref="B3:AF19" si="0">TEXT(B4,"ddd")</f>
        <v>Thu</v>
      </c>
      <c r="C3" s="19" t="str">
        <f t="shared" si="0"/>
        <v>Fri</v>
      </c>
      <c r="D3" s="19" t="str">
        <f t="shared" si="0"/>
        <v>Sat</v>
      </c>
      <c r="E3" s="19" t="str">
        <f t="shared" si="0"/>
        <v>Sun</v>
      </c>
      <c r="F3" s="19" t="str">
        <f t="shared" si="0"/>
        <v>Mon</v>
      </c>
      <c r="G3" s="19" t="str">
        <f t="shared" si="0"/>
        <v>Tue</v>
      </c>
      <c r="H3" s="19" t="str">
        <f t="shared" si="0"/>
        <v>Wed</v>
      </c>
      <c r="I3" s="19" t="str">
        <f t="shared" si="0"/>
        <v>Thu</v>
      </c>
      <c r="J3" s="19" t="str">
        <f t="shared" si="0"/>
        <v>Fri</v>
      </c>
      <c r="K3" s="19" t="str">
        <f t="shared" si="0"/>
        <v>Sat</v>
      </c>
      <c r="L3" s="19" t="str">
        <f t="shared" si="0"/>
        <v>Sun</v>
      </c>
      <c r="M3" s="19" t="str">
        <f t="shared" si="0"/>
        <v>Mon</v>
      </c>
      <c r="N3" s="19" t="str">
        <f t="shared" si="0"/>
        <v>Tue</v>
      </c>
      <c r="O3" s="19" t="str">
        <f t="shared" si="0"/>
        <v>Wed</v>
      </c>
      <c r="P3" s="19" t="str">
        <f t="shared" si="0"/>
        <v>Thu</v>
      </c>
      <c r="Q3" s="19" t="str">
        <f t="shared" si="0"/>
        <v>Fri</v>
      </c>
      <c r="R3" s="19" t="str">
        <f t="shared" si="0"/>
        <v>Sat</v>
      </c>
      <c r="S3" s="19" t="str">
        <f t="shared" si="0"/>
        <v>Sun</v>
      </c>
      <c r="T3" s="19" t="str">
        <f t="shared" si="0"/>
        <v>Mon</v>
      </c>
      <c r="U3" s="19" t="str">
        <f t="shared" si="0"/>
        <v>Tue</v>
      </c>
      <c r="V3" s="19" t="str">
        <f t="shared" si="0"/>
        <v>Wed</v>
      </c>
      <c r="W3" s="19" t="str">
        <f t="shared" si="0"/>
        <v>Thu</v>
      </c>
      <c r="X3" s="19" t="str">
        <f t="shared" si="0"/>
        <v>Fri</v>
      </c>
      <c r="Y3" s="19" t="str">
        <f t="shared" si="0"/>
        <v>Sat</v>
      </c>
      <c r="Z3" s="19" t="str">
        <f t="shared" si="0"/>
        <v>Sun</v>
      </c>
      <c r="AA3" s="19" t="str">
        <f t="shared" si="0"/>
        <v>Mon</v>
      </c>
      <c r="AB3" s="19" t="str">
        <f t="shared" si="0"/>
        <v>Tue</v>
      </c>
      <c r="AC3" s="19" t="str">
        <f t="shared" si="0"/>
        <v>Wed</v>
      </c>
      <c r="AD3" s="19" t="str">
        <f t="shared" si="0"/>
        <v>Thu</v>
      </c>
      <c r="AE3" s="19" t="str">
        <f t="shared" si="0"/>
        <v>Fri</v>
      </c>
      <c r="AF3" s="19" t="str">
        <f t="shared" si="0"/>
        <v>Sat</v>
      </c>
      <c r="AU3" s="36" t="s">
        <v>27</v>
      </c>
      <c r="AV3" s="36" t="s">
        <v>74</v>
      </c>
      <c r="AW3" s="37">
        <v>46039</v>
      </c>
      <c r="AX3" s="37">
        <v>46043</v>
      </c>
      <c r="AY3" s="38" t="s">
        <v>75</v>
      </c>
    </row>
    <row r="4" spans="1:51" hidden="1">
      <c r="A4" s="161"/>
      <c r="B4" s="9">
        <f>DATE(2026, MONTH(DATEVALUE("1-" &amp; A3)), 1)</f>
        <v>46023</v>
      </c>
      <c r="C4" s="9">
        <f t="shared" ref="C4" si="1">B4 + 1</f>
        <v>46024</v>
      </c>
      <c r="D4" s="9">
        <f t="shared" ref="D4" si="2">C4 + 1</f>
        <v>46025</v>
      </c>
      <c r="E4" s="9">
        <f t="shared" ref="E4" si="3">D4 + 1</f>
        <v>46026</v>
      </c>
      <c r="F4" s="9">
        <f t="shared" ref="F4" si="4">E4 + 1</f>
        <v>46027</v>
      </c>
      <c r="G4" s="9">
        <f t="shared" ref="G4" si="5">F4 + 1</f>
        <v>46028</v>
      </c>
      <c r="H4" s="9">
        <f t="shared" ref="H4" si="6">G4 + 1</f>
        <v>46029</v>
      </c>
      <c r="I4" s="9">
        <f t="shared" ref="I4" si="7">H4 + 1</f>
        <v>46030</v>
      </c>
      <c r="J4" s="9">
        <f t="shared" ref="J4" si="8">I4 + 1</f>
        <v>46031</v>
      </c>
      <c r="K4" s="9">
        <f t="shared" ref="K4" si="9">J4 + 1</f>
        <v>46032</v>
      </c>
      <c r="L4" s="9">
        <f t="shared" ref="L4" si="10">K4 + 1</f>
        <v>46033</v>
      </c>
      <c r="M4" s="9">
        <f t="shared" ref="M4" si="11">L4 + 1</f>
        <v>46034</v>
      </c>
      <c r="N4" s="9">
        <f t="shared" ref="N4" si="12">M4 + 1</f>
        <v>46035</v>
      </c>
      <c r="O4" s="9">
        <f t="shared" ref="O4" si="13">N4 + 1</f>
        <v>46036</v>
      </c>
      <c r="P4" s="9">
        <f t="shared" ref="P4" si="14">O4 + 1</f>
        <v>46037</v>
      </c>
      <c r="Q4" s="9">
        <f t="shared" ref="Q4" si="15">P4 + 1</f>
        <v>46038</v>
      </c>
      <c r="R4" s="9">
        <f t="shared" ref="R4" si="16">Q4 + 1</f>
        <v>46039</v>
      </c>
      <c r="S4" s="9">
        <f t="shared" ref="S4" si="17">R4 + 1</f>
        <v>46040</v>
      </c>
      <c r="T4" s="9">
        <f t="shared" ref="T4" si="18">S4 + 1</f>
        <v>46041</v>
      </c>
      <c r="U4" s="9">
        <f t="shared" ref="U4" si="19">T4 + 1</f>
        <v>46042</v>
      </c>
      <c r="V4" s="9">
        <f t="shared" ref="V4" si="20">U4 + 1</f>
        <v>46043</v>
      </c>
      <c r="W4" s="9">
        <f t="shared" ref="W4" si="21">V4 + 1</f>
        <v>46044</v>
      </c>
      <c r="X4" s="9">
        <f t="shared" ref="X4" si="22">W4 + 1</f>
        <v>46045</v>
      </c>
      <c r="Y4" s="9">
        <f t="shared" ref="Y4" si="23">X4 + 1</f>
        <v>46046</v>
      </c>
      <c r="Z4" s="9">
        <f t="shared" ref="Z4" si="24">Y4 + 1</f>
        <v>46047</v>
      </c>
      <c r="AA4" s="9">
        <f t="shared" ref="AA4" si="25">Z4 + 1</f>
        <v>46048</v>
      </c>
      <c r="AB4" s="9">
        <f t="shared" ref="AB4" si="26">AA4 + 1</f>
        <v>46049</v>
      </c>
      <c r="AC4" s="9">
        <f t="shared" ref="AC4" si="27">AB4 + 1</f>
        <v>46050</v>
      </c>
      <c r="AD4" s="9">
        <f t="shared" ref="AD4:AF4" si="28">AC4 + 1</f>
        <v>46051</v>
      </c>
      <c r="AE4" s="9">
        <f t="shared" si="28"/>
        <v>46052</v>
      </c>
      <c r="AF4" s="9">
        <f t="shared" si="28"/>
        <v>46053</v>
      </c>
      <c r="AU4" s="39" t="s">
        <v>31</v>
      </c>
      <c r="AV4" s="39" t="s">
        <v>74</v>
      </c>
      <c r="AW4" s="40">
        <v>46073</v>
      </c>
      <c r="AX4" s="40">
        <v>46079</v>
      </c>
      <c r="AY4" s="41" t="s">
        <v>76</v>
      </c>
    </row>
    <row r="5" spans="1:51" hidden="1">
      <c r="A5" s="158" t="s">
        <v>77</v>
      </c>
      <c r="B5" s="23" t="str">
        <f t="shared" si="0"/>
        <v>Sun</v>
      </c>
      <c r="C5" s="23" t="str">
        <f t="shared" si="0"/>
        <v>Mon</v>
      </c>
      <c r="D5" s="23" t="str">
        <f t="shared" si="0"/>
        <v>Tue</v>
      </c>
      <c r="E5" s="23" t="str">
        <f t="shared" si="0"/>
        <v>Wed</v>
      </c>
      <c r="F5" s="23" t="str">
        <f t="shared" si="0"/>
        <v>Thu</v>
      </c>
      <c r="G5" s="23" t="str">
        <f t="shared" si="0"/>
        <v>Fri</v>
      </c>
      <c r="H5" s="23" t="str">
        <f t="shared" si="0"/>
        <v>Sat</v>
      </c>
      <c r="I5" s="23" t="str">
        <f t="shared" si="0"/>
        <v>Sun</v>
      </c>
      <c r="J5" s="23" t="str">
        <f t="shared" si="0"/>
        <v>Mon</v>
      </c>
      <c r="K5" s="23" t="str">
        <f t="shared" si="0"/>
        <v>Tue</v>
      </c>
      <c r="L5" s="23" t="str">
        <f t="shared" si="0"/>
        <v>Wed</v>
      </c>
      <c r="M5" s="23" t="str">
        <f t="shared" si="0"/>
        <v>Thu</v>
      </c>
      <c r="N5" s="23" t="str">
        <f t="shared" si="0"/>
        <v>Fri</v>
      </c>
      <c r="O5" s="23" t="str">
        <f t="shared" si="0"/>
        <v>Sat</v>
      </c>
      <c r="P5" s="23" t="str">
        <f t="shared" si="0"/>
        <v>Sun</v>
      </c>
      <c r="Q5" s="23" t="str">
        <f t="shared" si="0"/>
        <v>Mon</v>
      </c>
      <c r="R5" s="23" t="str">
        <f t="shared" si="0"/>
        <v>Tue</v>
      </c>
      <c r="S5" s="23" t="str">
        <f t="shared" si="0"/>
        <v>Wed</v>
      </c>
      <c r="T5" s="23" t="str">
        <f t="shared" si="0"/>
        <v>Thu</v>
      </c>
      <c r="U5" s="21" t="str">
        <f t="shared" si="0"/>
        <v>Fri</v>
      </c>
      <c r="V5" s="21" t="str">
        <f t="shared" si="0"/>
        <v>Sat</v>
      </c>
      <c r="W5" s="21" t="str">
        <f t="shared" si="0"/>
        <v>Sun</v>
      </c>
      <c r="X5" s="21" t="str">
        <f t="shared" si="0"/>
        <v>Mon</v>
      </c>
      <c r="Y5" s="21" t="str">
        <f t="shared" si="0"/>
        <v>Tue</v>
      </c>
      <c r="Z5" s="21" t="str">
        <f t="shared" si="0"/>
        <v>Wed</v>
      </c>
      <c r="AA5" s="21" t="str">
        <f t="shared" si="0"/>
        <v>Thu</v>
      </c>
      <c r="AB5" s="23" t="str">
        <f t="shared" si="0"/>
        <v>Fri</v>
      </c>
      <c r="AC5" s="23" t="str">
        <f t="shared" si="0"/>
        <v>Sat</v>
      </c>
      <c r="AU5" s="36" t="s">
        <v>11</v>
      </c>
      <c r="AV5" s="36" t="s">
        <v>74</v>
      </c>
      <c r="AW5" s="37">
        <v>46083</v>
      </c>
      <c r="AX5" s="37">
        <v>46088</v>
      </c>
      <c r="AY5" s="38" t="s">
        <v>78</v>
      </c>
    </row>
    <row r="6" spans="1:51" hidden="1">
      <c r="A6" s="159"/>
      <c r="B6" s="24">
        <f>DATE(2026, MONTH(DATEVALUE("1-" &amp; A5)), 1)</f>
        <v>46054</v>
      </c>
      <c r="C6" s="24">
        <f t="shared" ref="C6" si="29">B6 + 1</f>
        <v>46055</v>
      </c>
      <c r="D6" s="24">
        <f t="shared" ref="D6" si="30">C6 + 1</f>
        <v>46056</v>
      </c>
      <c r="E6" s="24">
        <f t="shared" ref="E6" si="31">D6 + 1</f>
        <v>46057</v>
      </c>
      <c r="F6" s="24">
        <f t="shared" ref="F6" si="32">E6 + 1</f>
        <v>46058</v>
      </c>
      <c r="G6" s="24">
        <f t="shared" ref="G6" si="33">F6 + 1</f>
        <v>46059</v>
      </c>
      <c r="H6" s="24">
        <f t="shared" ref="H6" si="34">G6 + 1</f>
        <v>46060</v>
      </c>
      <c r="I6" s="24">
        <f t="shared" ref="I6" si="35">H6 + 1</f>
        <v>46061</v>
      </c>
      <c r="J6" s="24">
        <f t="shared" ref="J6" si="36">I6 + 1</f>
        <v>46062</v>
      </c>
      <c r="K6" s="24">
        <f t="shared" ref="K6" si="37">J6 + 1</f>
        <v>46063</v>
      </c>
      <c r="L6" s="24">
        <f t="shared" ref="L6" si="38">K6 + 1</f>
        <v>46064</v>
      </c>
      <c r="M6" s="24">
        <f t="shared" ref="M6" si="39">L6 + 1</f>
        <v>46065</v>
      </c>
      <c r="N6" s="24">
        <f t="shared" ref="N6" si="40">M6 + 1</f>
        <v>46066</v>
      </c>
      <c r="O6" s="24">
        <f t="shared" ref="O6" si="41">N6 + 1</f>
        <v>46067</v>
      </c>
      <c r="P6" s="24">
        <f t="shared" ref="P6" si="42">O6 + 1</f>
        <v>46068</v>
      </c>
      <c r="Q6" s="24">
        <f t="shared" ref="Q6" si="43">P6 + 1</f>
        <v>46069</v>
      </c>
      <c r="R6" s="24">
        <f t="shared" ref="R6" si="44">Q6 + 1</f>
        <v>46070</v>
      </c>
      <c r="S6" s="24">
        <f t="shared" ref="S6" si="45">R6 + 1</f>
        <v>46071</v>
      </c>
      <c r="T6" s="24">
        <f t="shared" ref="T6" si="46">S6 + 1</f>
        <v>46072</v>
      </c>
      <c r="U6" s="22">
        <f t="shared" ref="U6" si="47">T6 + 1</f>
        <v>46073</v>
      </c>
      <c r="V6" s="22">
        <f t="shared" ref="V6" si="48">U6 + 1</f>
        <v>46074</v>
      </c>
      <c r="W6" s="22">
        <f t="shared" ref="W6" si="49">V6 + 1</f>
        <v>46075</v>
      </c>
      <c r="X6" s="22">
        <f t="shared" ref="X6" si="50">W6 + 1</f>
        <v>46076</v>
      </c>
      <c r="Y6" s="22">
        <f t="shared" ref="Y6" si="51">X6 + 1</f>
        <v>46077</v>
      </c>
      <c r="Z6" s="22">
        <f t="shared" ref="Z6" si="52">Y6 + 1</f>
        <v>46078</v>
      </c>
      <c r="AA6" s="22">
        <f t="shared" ref="AA6" si="53">Z6 + 1</f>
        <v>46079</v>
      </c>
      <c r="AB6" s="24">
        <f t="shared" ref="AB6" si="54">AA6 + 1</f>
        <v>46080</v>
      </c>
      <c r="AC6" s="24">
        <f t="shared" ref="AC6" si="55">AB6 + 1</f>
        <v>46081</v>
      </c>
      <c r="AU6" s="39" t="s">
        <v>27</v>
      </c>
      <c r="AV6" s="39" t="s">
        <v>74</v>
      </c>
      <c r="AW6" s="40">
        <v>46089</v>
      </c>
      <c r="AX6" s="40">
        <v>46094</v>
      </c>
      <c r="AY6" s="41" t="s">
        <v>78</v>
      </c>
    </row>
    <row r="7" spans="1:51" hidden="1">
      <c r="A7" s="160" t="s">
        <v>79</v>
      </c>
      <c r="B7" s="19" t="str">
        <f t="shared" si="0"/>
        <v>Sun</v>
      </c>
      <c r="C7" s="21" t="str">
        <f t="shared" si="0"/>
        <v>Mon</v>
      </c>
      <c r="D7" s="21" t="str">
        <f t="shared" si="0"/>
        <v>Tue</v>
      </c>
      <c r="E7" s="21" t="str">
        <f t="shared" si="0"/>
        <v>Wed</v>
      </c>
      <c r="F7" s="21" t="str">
        <f t="shared" si="0"/>
        <v>Thu</v>
      </c>
      <c r="G7" s="21" t="str">
        <f t="shared" si="0"/>
        <v>Fri</v>
      </c>
      <c r="H7" s="21" t="str">
        <f t="shared" si="0"/>
        <v>Sat</v>
      </c>
      <c r="I7" s="27" t="str">
        <f t="shared" si="0"/>
        <v>Sun</v>
      </c>
      <c r="J7" s="27" t="str">
        <f t="shared" si="0"/>
        <v>Mon</v>
      </c>
      <c r="K7" s="27" t="str">
        <f t="shared" si="0"/>
        <v>Tue</v>
      </c>
      <c r="L7" s="27" t="str">
        <f t="shared" si="0"/>
        <v>Wed</v>
      </c>
      <c r="M7" s="27" t="str">
        <f t="shared" si="0"/>
        <v>Thu</v>
      </c>
      <c r="N7" s="27" t="str">
        <f t="shared" si="0"/>
        <v>Fri</v>
      </c>
      <c r="O7" s="19" t="str">
        <f t="shared" si="0"/>
        <v>Sat</v>
      </c>
      <c r="P7" s="19" t="str">
        <f t="shared" si="0"/>
        <v>Sun</v>
      </c>
      <c r="Q7" s="19" t="str">
        <f t="shared" si="0"/>
        <v>Mon</v>
      </c>
      <c r="R7" s="19" t="str">
        <f t="shared" si="0"/>
        <v>Tue</v>
      </c>
      <c r="S7" s="19" t="str">
        <f t="shared" si="0"/>
        <v>Wed</v>
      </c>
      <c r="T7" s="19" t="str">
        <f t="shared" si="0"/>
        <v>Thu</v>
      </c>
      <c r="U7" s="19" t="str">
        <f t="shared" si="0"/>
        <v>Fri</v>
      </c>
      <c r="V7" s="19" t="str">
        <f t="shared" si="0"/>
        <v>Sat</v>
      </c>
      <c r="W7" s="19" t="str">
        <f t="shared" si="0"/>
        <v>Sun</v>
      </c>
      <c r="X7" s="19" t="str">
        <f t="shared" si="0"/>
        <v>Mon</v>
      </c>
      <c r="Y7" s="19" t="str">
        <f t="shared" si="0"/>
        <v>Tue</v>
      </c>
      <c r="Z7" s="19" t="str">
        <f t="shared" si="0"/>
        <v>Wed</v>
      </c>
      <c r="AA7" s="19" t="str">
        <f t="shared" si="0"/>
        <v>Thu</v>
      </c>
      <c r="AB7" s="19" t="str">
        <f t="shared" si="0"/>
        <v>Fri</v>
      </c>
      <c r="AC7" s="19" t="str">
        <f t="shared" si="0"/>
        <v>Sat</v>
      </c>
      <c r="AD7" s="19" t="str">
        <f t="shared" si="0"/>
        <v>Sun</v>
      </c>
      <c r="AE7" s="19" t="str">
        <f t="shared" si="0"/>
        <v>Mon</v>
      </c>
      <c r="AF7" s="19" t="str">
        <f t="shared" si="0"/>
        <v>Tue</v>
      </c>
      <c r="AU7" s="36" t="s">
        <v>44</v>
      </c>
      <c r="AV7" s="36" t="s">
        <v>74</v>
      </c>
      <c r="AW7" s="37">
        <v>46140</v>
      </c>
      <c r="AX7" s="37">
        <v>46145</v>
      </c>
      <c r="AY7" s="38" t="s">
        <v>78</v>
      </c>
    </row>
    <row r="8" spans="1:51" hidden="1">
      <c r="A8" s="161"/>
      <c r="B8" s="9">
        <f>DATE(2026, MONTH(DATEVALUE("1-" &amp; A7)), 1)</f>
        <v>46082</v>
      </c>
      <c r="C8" s="22">
        <f t="shared" ref="C8" si="56">B8 + 1</f>
        <v>46083</v>
      </c>
      <c r="D8" s="22">
        <f t="shared" ref="D8" si="57">C8 + 1</f>
        <v>46084</v>
      </c>
      <c r="E8" s="22">
        <f t="shared" ref="E8" si="58">D8 + 1</f>
        <v>46085</v>
      </c>
      <c r="F8" s="22">
        <f t="shared" ref="F8" si="59">E8 + 1</f>
        <v>46086</v>
      </c>
      <c r="G8" s="22">
        <f t="shared" ref="G8" si="60">F8 + 1</f>
        <v>46087</v>
      </c>
      <c r="H8" s="22">
        <f t="shared" ref="H8" si="61">G8 + 1</f>
        <v>46088</v>
      </c>
      <c r="I8" s="28">
        <f t="shared" ref="I8" si="62">H8 + 1</f>
        <v>46089</v>
      </c>
      <c r="J8" s="28">
        <f t="shared" ref="J8" si="63">I8 + 1</f>
        <v>46090</v>
      </c>
      <c r="K8" s="28">
        <f t="shared" ref="K8" si="64">J8 + 1</f>
        <v>46091</v>
      </c>
      <c r="L8" s="28">
        <f t="shared" ref="L8" si="65">K8 + 1</f>
        <v>46092</v>
      </c>
      <c r="M8" s="28">
        <f t="shared" ref="M8" si="66">L8 + 1</f>
        <v>46093</v>
      </c>
      <c r="N8" s="28">
        <f t="shared" ref="N8" si="67">M8 + 1</f>
        <v>46094</v>
      </c>
      <c r="O8" s="9">
        <f t="shared" ref="O8" si="68">N8 + 1</f>
        <v>46095</v>
      </c>
      <c r="P8" s="9">
        <f t="shared" ref="P8" si="69">O8 + 1</f>
        <v>46096</v>
      </c>
      <c r="Q8" s="9">
        <f t="shared" ref="Q8" si="70">P8 + 1</f>
        <v>46097</v>
      </c>
      <c r="R8" s="9">
        <f t="shared" ref="R8" si="71">Q8 + 1</f>
        <v>46098</v>
      </c>
      <c r="S8" s="9">
        <f t="shared" ref="S8" si="72">R8 + 1</f>
        <v>46099</v>
      </c>
      <c r="T8" s="9">
        <f t="shared" ref="T8" si="73">S8 + 1</f>
        <v>46100</v>
      </c>
      <c r="U8" s="9">
        <f t="shared" ref="U8" si="74">T8 + 1</f>
        <v>46101</v>
      </c>
      <c r="V8" s="9">
        <f t="shared" ref="V8" si="75">U8 + 1</f>
        <v>46102</v>
      </c>
      <c r="W8" s="9">
        <f t="shared" ref="W8" si="76">V8 + 1</f>
        <v>46103</v>
      </c>
      <c r="X8" s="9">
        <f t="shared" ref="X8" si="77">W8 + 1</f>
        <v>46104</v>
      </c>
      <c r="Y8" s="9">
        <f t="shared" ref="Y8" si="78">X8 + 1</f>
        <v>46105</v>
      </c>
      <c r="Z8" s="9">
        <f t="shared" ref="Z8" si="79">Y8 + 1</f>
        <v>46106</v>
      </c>
      <c r="AA8" s="9">
        <f t="shared" ref="AA8" si="80">Z8 + 1</f>
        <v>46107</v>
      </c>
      <c r="AB8" s="9">
        <f t="shared" ref="AB8" si="81">AA8 + 1</f>
        <v>46108</v>
      </c>
      <c r="AC8" s="9">
        <f t="shared" ref="AC8" si="82">AB8 + 1</f>
        <v>46109</v>
      </c>
      <c r="AD8" s="9">
        <f t="shared" ref="AD8" si="83">AC8 + 1</f>
        <v>46110</v>
      </c>
      <c r="AE8" s="9">
        <f t="shared" ref="AE8" si="84">AD8 + 1</f>
        <v>46111</v>
      </c>
      <c r="AF8" s="9">
        <f t="shared" ref="AF8" si="85">AE8 + 1</f>
        <v>46112</v>
      </c>
      <c r="AU8" s="39" t="s">
        <v>38</v>
      </c>
      <c r="AV8" s="39" t="s">
        <v>74</v>
      </c>
      <c r="AW8" s="40">
        <v>46141</v>
      </c>
      <c r="AX8" s="40">
        <v>46146</v>
      </c>
      <c r="AY8" s="41" t="s">
        <v>78</v>
      </c>
    </row>
    <row r="9" spans="1:51" s="25" customFormat="1" hidden="1">
      <c r="A9" s="158" t="s">
        <v>80</v>
      </c>
      <c r="B9" s="23" t="str">
        <f t="shared" si="0"/>
        <v>Wed</v>
      </c>
      <c r="C9" s="23" t="str">
        <f t="shared" si="0"/>
        <v>Thu</v>
      </c>
      <c r="D9" s="23" t="str">
        <f t="shared" si="0"/>
        <v>Fri</v>
      </c>
      <c r="E9" s="23" t="str">
        <f t="shared" si="0"/>
        <v>Sat</v>
      </c>
      <c r="F9" s="23" t="str">
        <f t="shared" si="0"/>
        <v>Sun</v>
      </c>
      <c r="G9" s="23" t="str">
        <f t="shared" si="0"/>
        <v>Mon</v>
      </c>
      <c r="H9" s="23" t="str">
        <f t="shared" si="0"/>
        <v>Tue</v>
      </c>
      <c r="I9" s="23" t="str">
        <f t="shared" si="0"/>
        <v>Wed</v>
      </c>
      <c r="J9" s="23" t="str">
        <f t="shared" si="0"/>
        <v>Thu</v>
      </c>
      <c r="K9" s="23" t="str">
        <f t="shared" si="0"/>
        <v>Fri</v>
      </c>
      <c r="L9" s="23" t="str">
        <f t="shared" si="0"/>
        <v>Sat</v>
      </c>
      <c r="M9" s="23" t="str">
        <f t="shared" si="0"/>
        <v>Sun</v>
      </c>
      <c r="N9" s="23" t="str">
        <f t="shared" si="0"/>
        <v>Mon</v>
      </c>
      <c r="O9" s="23" t="str">
        <f t="shared" si="0"/>
        <v>Tue</v>
      </c>
      <c r="P9" s="23" t="str">
        <f t="shared" si="0"/>
        <v>Wed</v>
      </c>
      <c r="Q9" s="23" t="str">
        <f t="shared" si="0"/>
        <v>Thu</v>
      </c>
      <c r="R9" s="23" t="str">
        <f t="shared" si="0"/>
        <v>Fri</v>
      </c>
      <c r="S9" s="23" t="str">
        <f t="shared" si="0"/>
        <v>Sat</v>
      </c>
      <c r="T9" s="23" t="str">
        <f t="shared" si="0"/>
        <v>Sun</v>
      </c>
      <c r="U9" s="23" t="str">
        <f t="shared" si="0"/>
        <v>Mon</v>
      </c>
      <c r="V9" s="23" t="str">
        <f t="shared" si="0"/>
        <v>Tue</v>
      </c>
      <c r="W9" s="23" t="str">
        <f t="shared" si="0"/>
        <v>Wed</v>
      </c>
      <c r="X9" s="23" t="str">
        <f t="shared" si="0"/>
        <v>Thu</v>
      </c>
      <c r="Y9" s="21" t="str">
        <f t="shared" si="0"/>
        <v>Fri</v>
      </c>
      <c r="Z9" s="21" t="str">
        <f t="shared" si="0"/>
        <v>Sat</v>
      </c>
      <c r="AA9" s="21" t="str">
        <f t="shared" si="0"/>
        <v>Sun</v>
      </c>
      <c r="AB9" s="21" t="str">
        <f t="shared" si="0"/>
        <v>Mon</v>
      </c>
      <c r="AC9" s="21" t="str">
        <f t="shared" si="0"/>
        <v>Tue</v>
      </c>
      <c r="AD9" s="21" t="str">
        <f t="shared" si="0"/>
        <v>Wed</v>
      </c>
      <c r="AE9" s="21" t="str">
        <f t="shared" si="0"/>
        <v>Thu</v>
      </c>
      <c r="AU9" s="36" t="s">
        <v>44</v>
      </c>
      <c r="AV9" s="36" t="s">
        <v>74</v>
      </c>
      <c r="AW9" s="37">
        <v>46226</v>
      </c>
      <c r="AX9" s="37">
        <v>46231</v>
      </c>
      <c r="AY9" s="38" t="s">
        <v>78</v>
      </c>
    </row>
    <row r="10" spans="1:51" s="25" customFormat="1" hidden="1">
      <c r="A10" s="159"/>
      <c r="B10" s="24">
        <f>DATE(2026, MONTH(DATEVALUE("1-" &amp; A9)), 1)</f>
        <v>46113</v>
      </c>
      <c r="C10" s="24">
        <f t="shared" ref="C10" si="86">B10 + 1</f>
        <v>46114</v>
      </c>
      <c r="D10" s="24">
        <f t="shared" ref="D10" si="87">C10 + 1</f>
        <v>46115</v>
      </c>
      <c r="E10" s="24">
        <f t="shared" ref="E10" si="88">D10 + 1</f>
        <v>46116</v>
      </c>
      <c r="F10" s="24">
        <f t="shared" ref="F10" si="89">E10 + 1</f>
        <v>46117</v>
      </c>
      <c r="G10" s="24">
        <f t="shared" ref="G10" si="90">F10 + 1</f>
        <v>46118</v>
      </c>
      <c r="H10" s="24">
        <f t="shared" ref="H10" si="91">G10 + 1</f>
        <v>46119</v>
      </c>
      <c r="I10" s="24">
        <f t="shared" ref="I10" si="92">H10 + 1</f>
        <v>46120</v>
      </c>
      <c r="J10" s="24">
        <f t="shared" ref="J10" si="93">I10 + 1</f>
        <v>46121</v>
      </c>
      <c r="K10" s="24">
        <f t="shared" ref="K10" si="94">J10 + 1</f>
        <v>46122</v>
      </c>
      <c r="L10" s="24">
        <f t="shared" ref="L10" si="95">K10 + 1</f>
        <v>46123</v>
      </c>
      <c r="M10" s="24">
        <f t="shared" ref="M10" si="96">L10 + 1</f>
        <v>46124</v>
      </c>
      <c r="N10" s="24">
        <f t="shared" ref="N10" si="97">M10 + 1</f>
        <v>46125</v>
      </c>
      <c r="O10" s="24">
        <f t="shared" ref="O10" si="98">N10 + 1</f>
        <v>46126</v>
      </c>
      <c r="P10" s="24">
        <f t="shared" ref="P10" si="99">O10 + 1</f>
        <v>46127</v>
      </c>
      <c r="Q10" s="24">
        <f t="shared" ref="Q10" si="100">P10 + 1</f>
        <v>46128</v>
      </c>
      <c r="R10" s="24">
        <f t="shared" ref="R10" si="101">Q10 + 1</f>
        <v>46129</v>
      </c>
      <c r="S10" s="24">
        <f t="shared" ref="S10" si="102">R10 + 1</f>
        <v>46130</v>
      </c>
      <c r="T10" s="24">
        <f t="shared" ref="T10" si="103">S10 + 1</f>
        <v>46131</v>
      </c>
      <c r="U10" s="24">
        <f t="shared" ref="U10" si="104">T10 + 1</f>
        <v>46132</v>
      </c>
      <c r="V10" s="24">
        <f t="shared" ref="V10" si="105">U10 + 1</f>
        <v>46133</v>
      </c>
      <c r="W10" s="24">
        <f t="shared" ref="W10" si="106">V10 + 1</f>
        <v>46134</v>
      </c>
      <c r="X10" s="24">
        <f t="shared" ref="X10" si="107">W10 + 1</f>
        <v>46135</v>
      </c>
      <c r="Y10" s="22">
        <f t="shared" ref="Y10" si="108">X10 + 1</f>
        <v>46136</v>
      </c>
      <c r="Z10" s="22">
        <f t="shared" ref="Z10" si="109">Y10 + 1</f>
        <v>46137</v>
      </c>
      <c r="AA10" s="22">
        <f t="shared" ref="AA10" si="110">Z10 + 1</f>
        <v>46138</v>
      </c>
      <c r="AB10" s="22">
        <f t="shared" ref="AB10" si="111">AA10 + 1</f>
        <v>46139</v>
      </c>
      <c r="AC10" s="22">
        <f t="shared" ref="AC10" si="112">AB10 + 1</f>
        <v>46140</v>
      </c>
      <c r="AD10" s="22">
        <f t="shared" ref="AD10" si="113">AC10 + 1</f>
        <v>46141</v>
      </c>
      <c r="AE10" s="22">
        <f t="shared" ref="AE10" si="114">AD10 + 1</f>
        <v>46142</v>
      </c>
      <c r="AU10" s="39" t="s">
        <v>42</v>
      </c>
      <c r="AV10" s="39" t="s">
        <v>74</v>
      </c>
      <c r="AW10" s="40">
        <v>46299</v>
      </c>
      <c r="AX10" s="40">
        <v>46304</v>
      </c>
      <c r="AY10" s="41" t="s">
        <v>78</v>
      </c>
    </row>
    <row r="11" spans="1:51" hidden="1">
      <c r="A11" s="160" t="s">
        <v>52</v>
      </c>
      <c r="B11" s="21" t="str">
        <f t="shared" si="0"/>
        <v>Fri</v>
      </c>
      <c r="C11" s="21" t="str">
        <f t="shared" si="0"/>
        <v>Sat</v>
      </c>
      <c r="D11" s="21" t="str">
        <f t="shared" si="0"/>
        <v>Sun</v>
      </c>
      <c r="E11" s="21" t="str">
        <f t="shared" si="0"/>
        <v>Mon</v>
      </c>
      <c r="F11" s="19" t="str">
        <f t="shared" si="0"/>
        <v>Tue</v>
      </c>
      <c r="G11" s="19" t="str">
        <f t="shared" si="0"/>
        <v>Wed</v>
      </c>
      <c r="H11" s="19" t="str">
        <f t="shared" si="0"/>
        <v>Thu</v>
      </c>
      <c r="I11" s="19" t="str">
        <f t="shared" si="0"/>
        <v>Fri</v>
      </c>
      <c r="J11" s="19" t="str">
        <f t="shared" si="0"/>
        <v>Sat</v>
      </c>
      <c r="K11" s="19" t="str">
        <f t="shared" si="0"/>
        <v>Sun</v>
      </c>
      <c r="L11" s="19" t="str">
        <f t="shared" si="0"/>
        <v>Mon</v>
      </c>
      <c r="M11" s="19" t="str">
        <f t="shared" si="0"/>
        <v>Tue</v>
      </c>
      <c r="N11" s="19" t="str">
        <f t="shared" si="0"/>
        <v>Wed</v>
      </c>
      <c r="O11" s="19" t="str">
        <f t="shared" si="0"/>
        <v>Thu</v>
      </c>
      <c r="P11" s="19" t="str">
        <f t="shared" si="0"/>
        <v>Fri</v>
      </c>
      <c r="Q11" s="19" t="str">
        <f t="shared" si="0"/>
        <v>Sat</v>
      </c>
      <c r="R11" s="19" t="str">
        <f t="shared" si="0"/>
        <v>Sun</v>
      </c>
      <c r="S11" s="19" t="str">
        <f t="shared" si="0"/>
        <v>Mon</v>
      </c>
      <c r="T11" s="19" t="str">
        <f t="shared" si="0"/>
        <v>Tue</v>
      </c>
      <c r="U11" s="19" t="str">
        <f t="shared" si="0"/>
        <v>Wed</v>
      </c>
      <c r="V11" s="19" t="str">
        <f t="shared" si="0"/>
        <v>Thu</v>
      </c>
      <c r="W11" s="19" t="str">
        <f t="shared" si="0"/>
        <v>Fri</v>
      </c>
      <c r="X11" s="19" t="str">
        <f t="shared" si="0"/>
        <v>Sat</v>
      </c>
      <c r="Y11" s="19" t="str">
        <f t="shared" si="0"/>
        <v>Sun</v>
      </c>
      <c r="Z11" s="19" t="str">
        <f t="shared" si="0"/>
        <v>Mon</v>
      </c>
      <c r="AA11" s="19" t="str">
        <f t="shared" si="0"/>
        <v>Tue</v>
      </c>
      <c r="AB11" s="19" t="str">
        <f t="shared" si="0"/>
        <v>Wed</v>
      </c>
      <c r="AC11" s="19" t="str">
        <f t="shared" si="0"/>
        <v>Thu</v>
      </c>
      <c r="AD11" s="19" t="str">
        <f t="shared" si="0"/>
        <v>Fri</v>
      </c>
      <c r="AE11" s="19" t="str">
        <f t="shared" si="0"/>
        <v>Sat</v>
      </c>
      <c r="AF11" s="19" t="str">
        <f t="shared" ref="AF11" si="115">TEXT(AF12,"ddd")</f>
        <v>Sun</v>
      </c>
      <c r="AU11" s="42"/>
      <c r="AV11" s="42"/>
      <c r="AW11" s="43"/>
      <c r="AX11" s="43"/>
      <c r="AY11" s="44"/>
    </row>
    <row r="12" spans="1:51" hidden="1">
      <c r="A12" s="161"/>
      <c r="B12" s="22">
        <f>DATE(2026, MONTH(DATEVALUE("1-" &amp; A11)), 1)</f>
        <v>46143</v>
      </c>
      <c r="C12" s="22">
        <f t="shared" ref="C12" si="116">B12 + 1</f>
        <v>46144</v>
      </c>
      <c r="D12" s="22">
        <f t="shared" ref="D12" si="117">C12 + 1</f>
        <v>46145</v>
      </c>
      <c r="E12" s="22">
        <f t="shared" ref="E12" si="118">D12 + 1</f>
        <v>46146</v>
      </c>
      <c r="F12" s="9">
        <f t="shared" ref="F12" si="119">E12 + 1</f>
        <v>46147</v>
      </c>
      <c r="G12" s="9">
        <f t="shared" ref="G12" si="120">F12 + 1</f>
        <v>46148</v>
      </c>
      <c r="H12" s="9">
        <f t="shared" ref="H12" si="121">G12 + 1</f>
        <v>46149</v>
      </c>
      <c r="I12" s="9">
        <f t="shared" ref="I12" si="122">H12 + 1</f>
        <v>46150</v>
      </c>
      <c r="J12" s="9">
        <f t="shared" ref="J12" si="123">I12 + 1</f>
        <v>46151</v>
      </c>
      <c r="K12" s="9">
        <f t="shared" ref="K12" si="124">J12 + 1</f>
        <v>46152</v>
      </c>
      <c r="L12" s="9">
        <f t="shared" ref="L12" si="125">K12 + 1</f>
        <v>46153</v>
      </c>
      <c r="M12" s="9">
        <f t="shared" ref="M12" si="126">L12 + 1</f>
        <v>46154</v>
      </c>
      <c r="N12" s="9">
        <f t="shared" ref="N12" si="127">M12 + 1</f>
        <v>46155</v>
      </c>
      <c r="O12" s="9">
        <f t="shared" ref="O12" si="128">N12 + 1</f>
        <v>46156</v>
      </c>
      <c r="P12" s="9">
        <f t="shared" ref="P12" si="129">O12 + 1</f>
        <v>46157</v>
      </c>
      <c r="Q12" s="9">
        <f t="shared" ref="Q12" si="130">P12 + 1</f>
        <v>46158</v>
      </c>
      <c r="R12" s="9">
        <f t="shared" ref="R12" si="131">Q12 + 1</f>
        <v>46159</v>
      </c>
      <c r="S12" s="9">
        <f t="shared" ref="S12" si="132">R12 + 1</f>
        <v>46160</v>
      </c>
      <c r="T12" s="9">
        <f t="shared" ref="T12" si="133">S12 + 1</f>
        <v>46161</v>
      </c>
      <c r="U12" s="9">
        <f t="shared" ref="U12" si="134">T12 + 1</f>
        <v>46162</v>
      </c>
      <c r="V12" s="9">
        <f t="shared" ref="V12" si="135">U12 + 1</f>
        <v>46163</v>
      </c>
      <c r="W12" s="9">
        <f t="shared" ref="W12" si="136">V12 + 1</f>
        <v>46164</v>
      </c>
      <c r="X12" s="9">
        <f t="shared" ref="X12" si="137">W12 + 1</f>
        <v>46165</v>
      </c>
      <c r="Y12" s="9">
        <f t="shared" ref="Y12" si="138">X12 + 1</f>
        <v>46166</v>
      </c>
      <c r="Z12" s="9">
        <f t="shared" ref="Z12" si="139">Y12 + 1</f>
        <v>46167</v>
      </c>
      <c r="AA12" s="9">
        <f t="shared" ref="AA12" si="140">Z12 + 1</f>
        <v>46168</v>
      </c>
      <c r="AB12" s="9">
        <f t="shared" ref="AB12" si="141">AA12 + 1</f>
        <v>46169</v>
      </c>
      <c r="AC12" s="9">
        <f t="shared" ref="AC12" si="142">AB12 + 1</f>
        <v>46170</v>
      </c>
      <c r="AD12" s="9">
        <f t="shared" ref="AD12" si="143">AC12 + 1</f>
        <v>46171</v>
      </c>
      <c r="AE12" s="9">
        <f t="shared" ref="AE12" si="144">AD12 + 1</f>
        <v>46172</v>
      </c>
      <c r="AF12" s="9">
        <f t="shared" ref="AF12" si="145">AE12 + 1</f>
        <v>46173</v>
      </c>
    </row>
    <row r="13" spans="1:51" s="25" customFormat="1" hidden="1">
      <c r="A13" s="158" t="s">
        <v>81</v>
      </c>
      <c r="B13" s="23" t="str">
        <f t="shared" si="0"/>
        <v>Mon</v>
      </c>
      <c r="C13" s="23" t="str">
        <f t="shared" si="0"/>
        <v>Tue</v>
      </c>
      <c r="D13" s="23" t="str">
        <f t="shared" si="0"/>
        <v>Wed</v>
      </c>
      <c r="E13" s="23" t="str">
        <f t="shared" si="0"/>
        <v>Thu</v>
      </c>
      <c r="F13" s="23" t="str">
        <f t="shared" si="0"/>
        <v>Fri</v>
      </c>
      <c r="G13" s="23" t="str">
        <f t="shared" si="0"/>
        <v>Sat</v>
      </c>
      <c r="H13" s="23" t="str">
        <f t="shared" si="0"/>
        <v>Sun</v>
      </c>
      <c r="I13" s="23" t="str">
        <f t="shared" si="0"/>
        <v>Mon</v>
      </c>
      <c r="J13" s="23" t="str">
        <f t="shared" si="0"/>
        <v>Tue</v>
      </c>
      <c r="K13" s="23" t="str">
        <f t="shared" si="0"/>
        <v>Wed</v>
      </c>
      <c r="L13" s="23" t="str">
        <f t="shared" si="0"/>
        <v>Thu</v>
      </c>
      <c r="M13" s="23" t="str">
        <f t="shared" si="0"/>
        <v>Fri</v>
      </c>
      <c r="N13" s="23" t="str">
        <f t="shared" si="0"/>
        <v>Sat</v>
      </c>
      <c r="O13" s="23" t="str">
        <f t="shared" si="0"/>
        <v>Sun</v>
      </c>
      <c r="P13" s="23" t="str">
        <f t="shared" si="0"/>
        <v>Mon</v>
      </c>
      <c r="Q13" s="23" t="str">
        <f t="shared" si="0"/>
        <v>Tue</v>
      </c>
      <c r="R13" s="23" t="str">
        <f t="shared" si="0"/>
        <v>Wed</v>
      </c>
      <c r="S13" s="23" t="str">
        <f t="shared" si="0"/>
        <v>Thu</v>
      </c>
      <c r="T13" s="23" t="str">
        <f t="shared" si="0"/>
        <v>Fri</v>
      </c>
      <c r="U13" s="23" t="str">
        <f t="shared" si="0"/>
        <v>Sat</v>
      </c>
      <c r="V13" s="23" t="str">
        <f t="shared" si="0"/>
        <v>Sun</v>
      </c>
      <c r="W13" s="23" t="str">
        <f t="shared" si="0"/>
        <v>Mon</v>
      </c>
      <c r="X13" s="23" t="str">
        <f t="shared" si="0"/>
        <v>Tue</v>
      </c>
      <c r="Y13" s="23" t="str">
        <f t="shared" si="0"/>
        <v>Wed</v>
      </c>
      <c r="Z13" s="23" t="str">
        <f t="shared" si="0"/>
        <v>Thu</v>
      </c>
      <c r="AA13" s="23" t="str">
        <f t="shared" si="0"/>
        <v>Fri</v>
      </c>
      <c r="AB13" s="23" t="str">
        <f t="shared" si="0"/>
        <v>Sat</v>
      </c>
      <c r="AC13" s="23" t="str">
        <f t="shared" si="0"/>
        <v>Sun</v>
      </c>
      <c r="AD13" s="23" t="str">
        <f t="shared" si="0"/>
        <v>Mon</v>
      </c>
      <c r="AE13" s="23" t="str">
        <f t="shared" si="0"/>
        <v>Tue</v>
      </c>
      <c r="AU13" s="45"/>
      <c r="AV13" s="45"/>
      <c r="AW13" s="45"/>
      <c r="AX13" s="45"/>
      <c r="AY13" s="45"/>
    </row>
    <row r="14" spans="1:51" s="25" customFormat="1" hidden="1">
      <c r="A14" s="159"/>
      <c r="B14" s="24">
        <f>DATE(2026, MONTH(DATEVALUE("1-" &amp; A13)), 1)</f>
        <v>46174</v>
      </c>
      <c r="C14" s="24">
        <f t="shared" ref="C14" si="146">B14 + 1</f>
        <v>46175</v>
      </c>
      <c r="D14" s="24">
        <f t="shared" ref="D14" si="147">C14 + 1</f>
        <v>46176</v>
      </c>
      <c r="E14" s="24">
        <f t="shared" ref="E14" si="148">D14 + 1</f>
        <v>46177</v>
      </c>
      <c r="F14" s="24">
        <f t="shared" ref="F14" si="149">E14 + 1</f>
        <v>46178</v>
      </c>
      <c r="G14" s="24">
        <f t="shared" ref="G14" si="150">F14 + 1</f>
        <v>46179</v>
      </c>
      <c r="H14" s="24">
        <f t="shared" ref="H14" si="151">G14 + 1</f>
        <v>46180</v>
      </c>
      <c r="I14" s="24">
        <f t="shared" ref="I14" si="152">H14 + 1</f>
        <v>46181</v>
      </c>
      <c r="J14" s="24">
        <f t="shared" ref="J14" si="153">I14 + 1</f>
        <v>46182</v>
      </c>
      <c r="K14" s="24">
        <f t="shared" ref="K14" si="154">J14 + 1</f>
        <v>46183</v>
      </c>
      <c r="L14" s="24">
        <f t="shared" ref="L14" si="155">K14 + 1</f>
        <v>46184</v>
      </c>
      <c r="M14" s="24">
        <f t="shared" ref="M14" si="156">L14 + 1</f>
        <v>46185</v>
      </c>
      <c r="N14" s="24">
        <f t="shared" ref="N14" si="157">M14 + 1</f>
        <v>46186</v>
      </c>
      <c r="O14" s="24">
        <f t="shared" ref="O14" si="158">N14 + 1</f>
        <v>46187</v>
      </c>
      <c r="P14" s="24">
        <f t="shared" ref="P14" si="159">O14 + 1</f>
        <v>46188</v>
      </c>
      <c r="Q14" s="24">
        <f t="shared" ref="Q14" si="160">P14 + 1</f>
        <v>46189</v>
      </c>
      <c r="R14" s="24">
        <f t="shared" ref="R14" si="161">Q14 + 1</f>
        <v>46190</v>
      </c>
      <c r="S14" s="24">
        <f t="shared" ref="S14" si="162">R14 + 1</f>
        <v>46191</v>
      </c>
      <c r="T14" s="24">
        <f t="shared" ref="T14" si="163">S14 + 1</f>
        <v>46192</v>
      </c>
      <c r="U14" s="24">
        <f t="shared" ref="U14" si="164">T14 + 1</f>
        <v>46193</v>
      </c>
      <c r="V14" s="24">
        <f t="shared" ref="V14" si="165">U14 + 1</f>
        <v>46194</v>
      </c>
      <c r="W14" s="24">
        <f t="shared" ref="W14" si="166">V14 + 1</f>
        <v>46195</v>
      </c>
      <c r="X14" s="24">
        <f t="shared" ref="X14" si="167">W14 + 1</f>
        <v>46196</v>
      </c>
      <c r="Y14" s="24">
        <f t="shared" ref="Y14" si="168">X14 + 1</f>
        <v>46197</v>
      </c>
      <c r="Z14" s="24">
        <f t="shared" ref="Z14" si="169">Y14 + 1</f>
        <v>46198</v>
      </c>
      <c r="AA14" s="24">
        <f t="shared" ref="AA14" si="170">Z14 + 1</f>
        <v>46199</v>
      </c>
      <c r="AB14" s="24">
        <f t="shared" ref="AB14" si="171">AA14 + 1</f>
        <v>46200</v>
      </c>
      <c r="AC14" s="24">
        <f t="shared" ref="AC14" si="172">AB14 + 1</f>
        <v>46201</v>
      </c>
      <c r="AD14" s="24">
        <f t="shared" ref="AD14" si="173">AC14 + 1</f>
        <v>46202</v>
      </c>
      <c r="AE14" s="24">
        <f t="shared" ref="AE14" si="174">AD14 + 1</f>
        <v>46203</v>
      </c>
      <c r="AU14" s="45"/>
      <c r="AV14" s="45"/>
      <c r="AW14" s="45"/>
      <c r="AX14" s="45"/>
      <c r="AY14" s="45"/>
    </row>
    <row r="15" spans="1:51" hidden="1">
      <c r="A15" s="160" t="s">
        <v>82</v>
      </c>
      <c r="B15" s="19" t="str">
        <f t="shared" si="0"/>
        <v>Wed</v>
      </c>
      <c r="C15" s="19" t="str">
        <f t="shared" si="0"/>
        <v>Thu</v>
      </c>
      <c r="D15" s="19" t="str">
        <f t="shared" si="0"/>
        <v>Fri</v>
      </c>
      <c r="E15" s="60" t="str">
        <f t="shared" si="0"/>
        <v>Sat</v>
      </c>
      <c r="F15" s="19" t="str">
        <f t="shared" si="0"/>
        <v>Sun</v>
      </c>
      <c r="G15" s="19" t="str">
        <f t="shared" si="0"/>
        <v>Mon</v>
      </c>
      <c r="H15" s="19" t="str">
        <f t="shared" si="0"/>
        <v>Tue</v>
      </c>
      <c r="I15" s="19" t="str">
        <f t="shared" si="0"/>
        <v>Wed</v>
      </c>
      <c r="J15" s="19" t="str">
        <f t="shared" si="0"/>
        <v>Thu</v>
      </c>
      <c r="K15" s="19" t="str">
        <f t="shared" si="0"/>
        <v>Fri</v>
      </c>
      <c r="L15" s="19" t="str">
        <f t="shared" si="0"/>
        <v>Sat</v>
      </c>
      <c r="M15" s="19" t="str">
        <f t="shared" si="0"/>
        <v>Sun</v>
      </c>
      <c r="N15" s="19" t="str">
        <f t="shared" si="0"/>
        <v>Mon</v>
      </c>
      <c r="O15" s="19" t="str">
        <f t="shared" si="0"/>
        <v>Tue</v>
      </c>
      <c r="P15" s="19" t="str">
        <f t="shared" si="0"/>
        <v>Wed</v>
      </c>
      <c r="Q15" s="19" t="str">
        <f t="shared" si="0"/>
        <v>Thu</v>
      </c>
      <c r="R15" s="19" t="str">
        <f t="shared" si="0"/>
        <v>Fri</v>
      </c>
      <c r="S15" s="19" t="str">
        <f t="shared" si="0"/>
        <v>Sat</v>
      </c>
      <c r="T15" s="19" t="str">
        <f t="shared" si="0"/>
        <v>Sun</v>
      </c>
      <c r="U15" s="19" t="str">
        <f t="shared" si="0"/>
        <v>Mon</v>
      </c>
      <c r="V15" s="19" t="str">
        <f t="shared" si="0"/>
        <v>Tue</v>
      </c>
      <c r="W15" s="19" t="str">
        <f t="shared" si="0"/>
        <v>Wed</v>
      </c>
      <c r="X15" s="21" t="str">
        <f t="shared" si="0"/>
        <v>Thu</v>
      </c>
      <c r="Y15" s="21" t="str">
        <f t="shared" si="0"/>
        <v>Fri</v>
      </c>
      <c r="Z15" s="21" t="str">
        <f t="shared" si="0"/>
        <v>Sat</v>
      </c>
      <c r="AA15" s="21" t="str">
        <f t="shared" si="0"/>
        <v>Sun</v>
      </c>
      <c r="AB15" s="21" t="str">
        <f t="shared" si="0"/>
        <v>Mon</v>
      </c>
      <c r="AC15" s="21" t="str">
        <f t="shared" si="0"/>
        <v>Tue</v>
      </c>
      <c r="AD15" s="19" t="str">
        <f t="shared" si="0"/>
        <v>Wed</v>
      </c>
      <c r="AE15" s="19" t="str">
        <f t="shared" si="0"/>
        <v>Thu</v>
      </c>
      <c r="AF15" s="19" t="str">
        <f t="shared" si="0"/>
        <v>Fri</v>
      </c>
    </row>
    <row r="16" spans="1:51" hidden="1">
      <c r="A16" s="161"/>
      <c r="B16" s="9">
        <f>DATE(2026, MONTH(DATEVALUE("1-" &amp; A15)), 1)</f>
        <v>46204</v>
      </c>
      <c r="C16" s="9">
        <f t="shared" ref="C16" si="175">B16 + 1</f>
        <v>46205</v>
      </c>
      <c r="D16" s="9">
        <f t="shared" ref="D16" si="176">C16 + 1</f>
        <v>46206</v>
      </c>
      <c r="E16" s="61">
        <f t="shared" ref="E16" si="177">D16 + 1</f>
        <v>46207</v>
      </c>
      <c r="F16" s="9">
        <f t="shared" ref="F16" si="178">E16 + 1</f>
        <v>46208</v>
      </c>
      <c r="G16" s="9">
        <f t="shared" ref="G16" si="179">F16 + 1</f>
        <v>46209</v>
      </c>
      <c r="H16" s="9">
        <f t="shared" ref="H16" si="180">G16 + 1</f>
        <v>46210</v>
      </c>
      <c r="I16" s="9">
        <f t="shared" ref="I16" si="181">H16 + 1</f>
        <v>46211</v>
      </c>
      <c r="J16" s="9">
        <f t="shared" ref="J16" si="182">I16 + 1</f>
        <v>46212</v>
      </c>
      <c r="K16" s="9">
        <f t="shared" ref="K16" si="183">J16 + 1</f>
        <v>46213</v>
      </c>
      <c r="L16" s="9">
        <f t="shared" ref="L16" si="184">K16 + 1</f>
        <v>46214</v>
      </c>
      <c r="M16" s="9">
        <f t="shared" ref="M16" si="185">L16 + 1</f>
        <v>46215</v>
      </c>
      <c r="N16" s="9">
        <f t="shared" ref="N16" si="186">M16 + 1</f>
        <v>46216</v>
      </c>
      <c r="O16" s="9">
        <f t="shared" ref="O16" si="187">N16 + 1</f>
        <v>46217</v>
      </c>
      <c r="P16" s="9">
        <f t="shared" ref="P16" si="188">O16 + 1</f>
        <v>46218</v>
      </c>
      <c r="Q16" s="9">
        <f t="shared" ref="Q16" si="189">P16 + 1</f>
        <v>46219</v>
      </c>
      <c r="R16" s="9">
        <f t="shared" ref="R16" si="190">Q16 + 1</f>
        <v>46220</v>
      </c>
      <c r="S16" s="9">
        <f t="shared" ref="S16" si="191">R16 + 1</f>
        <v>46221</v>
      </c>
      <c r="T16" s="9">
        <f t="shared" ref="T16" si="192">S16 + 1</f>
        <v>46222</v>
      </c>
      <c r="U16" s="9">
        <f t="shared" ref="U16" si="193">T16 + 1</f>
        <v>46223</v>
      </c>
      <c r="V16" s="9">
        <f t="shared" ref="V16" si="194">U16 + 1</f>
        <v>46224</v>
      </c>
      <c r="W16" s="9">
        <f t="shared" ref="W16" si="195">V16 + 1</f>
        <v>46225</v>
      </c>
      <c r="X16" s="22">
        <f t="shared" ref="X16" si="196">W16 + 1</f>
        <v>46226</v>
      </c>
      <c r="Y16" s="22">
        <f t="shared" ref="Y16" si="197">X16 + 1</f>
        <v>46227</v>
      </c>
      <c r="Z16" s="22">
        <f t="shared" ref="Z16" si="198">Y16 + 1</f>
        <v>46228</v>
      </c>
      <c r="AA16" s="22">
        <f t="shared" ref="AA16" si="199">Z16 + 1</f>
        <v>46229</v>
      </c>
      <c r="AB16" s="22">
        <f t="shared" ref="AB16" si="200">AA16 + 1</f>
        <v>46230</v>
      </c>
      <c r="AC16" s="22">
        <f t="shared" ref="AC16" si="201">AB16 + 1</f>
        <v>46231</v>
      </c>
      <c r="AD16" s="9">
        <f t="shared" ref="AD16" si="202">AC16 + 1</f>
        <v>46232</v>
      </c>
      <c r="AE16" s="9">
        <f t="shared" ref="AE16" si="203">AD16 + 1</f>
        <v>46233</v>
      </c>
      <c r="AF16" s="9">
        <f t="shared" ref="AF16" si="204">AE16 + 1</f>
        <v>46234</v>
      </c>
    </row>
    <row r="17" spans="1:51" s="25" customFormat="1">
      <c r="A17" s="158" t="s">
        <v>83</v>
      </c>
      <c r="B17" s="23" t="str">
        <f t="shared" si="0"/>
        <v>Sat</v>
      </c>
      <c r="C17" s="23" t="str">
        <f t="shared" si="0"/>
        <v>Sun</v>
      </c>
      <c r="D17" s="60" t="str">
        <f t="shared" si="0"/>
        <v>Mon</v>
      </c>
      <c r="E17" s="60" t="str">
        <f t="shared" si="0"/>
        <v>Tue</v>
      </c>
      <c r="F17" s="60" t="str">
        <f t="shared" si="0"/>
        <v>Wed</v>
      </c>
      <c r="G17" s="23" t="str">
        <f t="shared" si="0"/>
        <v>Thu</v>
      </c>
      <c r="H17" s="23" t="str">
        <f t="shared" si="0"/>
        <v>Fri</v>
      </c>
      <c r="I17" s="23" t="str">
        <f t="shared" si="0"/>
        <v>Sat</v>
      </c>
      <c r="J17" s="23" t="str">
        <f t="shared" si="0"/>
        <v>Sun</v>
      </c>
      <c r="K17" s="23" t="str">
        <f t="shared" si="0"/>
        <v>Mon</v>
      </c>
      <c r="L17" s="23" t="str">
        <f t="shared" si="0"/>
        <v>Tue</v>
      </c>
      <c r="M17" s="23" t="str">
        <f t="shared" si="0"/>
        <v>Wed</v>
      </c>
      <c r="N17" s="23" t="str">
        <f t="shared" si="0"/>
        <v>Thu</v>
      </c>
      <c r="O17" s="23" t="str">
        <f t="shared" si="0"/>
        <v>Fri</v>
      </c>
      <c r="P17" s="23" t="str">
        <f t="shared" si="0"/>
        <v>Sat</v>
      </c>
      <c r="Q17" s="23" t="str">
        <f t="shared" si="0"/>
        <v>Sun</v>
      </c>
      <c r="R17" s="23" t="str">
        <f t="shared" si="0"/>
        <v>Mon</v>
      </c>
      <c r="S17" s="60" t="str">
        <f t="shared" si="0"/>
        <v>Tue</v>
      </c>
      <c r="T17" s="21" t="str">
        <f t="shared" si="0"/>
        <v>Wed</v>
      </c>
      <c r="U17" s="21" t="str">
        <f t="shared" si="0"/>
        <v>Thu</v>
      </c>
      <c r="V17" s="21" t="str">
        <f t="shared" si="0"/>
        <v>Fri</v>
      </c>
      <c r="W17" s="21" t="str">
        <f t="shared" si="0"/>
        <v>Sat</v>
      </c>
      <c r="X17" s="21" t="str">
        <f t="shared" si="0"/>
        <v>Sun</v>
      </c>
      <c r="Y17" s="21" t="str">
        <f t="shared" si="0"/>
        <v>Mon</v>
      </c>
      <c r="Z17" s="21" t="str">
        <f t="shared" si="0"/>
        <v>Tue</v>
      </c>
      <c r="AA17" s="21" t="str">
        <f t="shared" si="0"/>
        <v>Wed</v>
      </c>
      <c r="AB17" s="21" t="str">
        <f t="shared" si="0"/>
        <v>Thu</v>
      </c>
      <c r="AC17" s="21" t="str">
        <f t="shared" si="0"/>
        <v>Fri</v>
      </c>
      <c r="AD17" s="21" t="str">
        <f t="shared" si="0"/>
        <v>Sat</v>
      </c>
      <c r="AE17" s="21" t="str">
        <f t="shared" si="0"/>
        <v>Sun</v>
      </c>
      <c r="AF17" s="23" t="str">
        <f t="shared" si="0"/>
        <v>Mon</v>
      </c>
      <c r="AU17" s="45"/>
      <c r="AV17" s="45"/>
      <c r="AW17" s="45"/>
      <c r="AX17" s="45"/>
      <c r="AY17" s="45"/>
    </row>
    <row r="18" spans="1:51" s="25" customFormat="1">
      <c r="A18" s="159"/>
      <c r="B18" s="24">
        <f>DATE(2026, MONTH(DATEVALUE("1-" &amp; A17)), 1)</f>
        <v>46235</v>
      </c>
      <c r="C18" s="24">
        <f t="shared" ref="C18" si="205">B18 + 1</f>
        <v>46236</v>
      </c>
      <c r="D18" s="61">
        <f t="shared" ref="D18" si="206">C18 + 1</f>
        <v>46237</v>
      </c>
      <c r="E18" s="61">
        <f t="shared" ref="E18" si="207">D18 + 1</f>
        <v>46238</v>
      </c>
      <c r="F18" s="61">
        <f t="shared" ref="F18" si="208">E18 + 1</f>
        <v>46239</v>
      </c>
      <c r="G18" s="24">
        <f t="shared" ref="G18" si="209">F18 + 1</f>
        <v>46240</v>
      </c>
      <c r="H18" s="24">
        <f t="shared" ref="H18" si="210">G18 + 1</f>
        <v>46241</v>
      </c>
      <c r="I18" s="24">
        <f t="shared" ref="I18" si="211">H18 + 1</f>
        <v>46242</v>
      </c>
      <c r="J18" s="24">
        <f t="shared" ref="J18" si="212">I18 + 1</f>
        <v>46243</v>
      </c>
      <c r="K18" s="24">
        <f t="shared" ref="K18" si="213">J18 + 1</f>
        <v>46244</v>
      </c>
      <c r="L18" s="24">
        <f t="shared" ref="L18" si="214">K18 + 1</f>
        <v>46245</v>
      </c>
      <c r="M18" s="24">
        <f t="shared" ref="M18" si="215">L18 + 1</f>
        <v>46246</v>
      </c>
      <c r="N18" s="24">
        <f t="shared" ref="N18" si="216">M18 + 1</f>
        <v>46247</v>
      </c>
      <c r="O18" s="24">
        <f t="shared" ref="O18" si="217">N18 + 1</f>
        <v>46248</v>
      </c>
      <c r="P18" s="24">
        <f t="shared" ref="P18" si="218">O18 + 1</f>
        <v>46249</v>
      </c>
      <c r="Q18" s="24">
        <f t="shared" ref="Q18" si="219">P18 + 1</f>
        <v>46250</v>
      </c>
      <c r="R18" s="24">
        <f t="shared" ref="R18" si="220">Q18 + 1</f>
        <v>46251</v>
      </c>
      <c r="S18" s="61">
        <f t="shared" ref="S18" si="221">R18 + 1</f>
        <v>46252</v>
      </c>
      <c r="T18" s="22">
        <f t="shared" ref="T18" si="222">S18 + 1</f>
        <v>46253</v>
      </c>
      <c r="U18" s="22">
        <f t="shared" ref="U18" si="223">T18 + 1</f>
        <v>46254</v>
      </c>
      <c r="V18" s="22">
        <f t="shared" ref="V18" si="224">U18 + 1</f>
        <v>46255</v>
      </c>
      <c r="W18" s="22">
        <f t="shared" ref="W18" si="225">V18 + 1</f>
        <v>46256</v>
      </c>
      <c r="X18" s="22">
        <f t="shared" ref="X18" si="226">W18 + 1</f>
        <v>46257</v>
      </c>
      <c r="Y18" s="22">
        <f t="shared" ref="Y18" si="227">X18 + 1</f>
        <v>46258</v>
      </c>
      <c r="Z18" s="22">
        <f t="shared" ref="Z18" si="228">Y18 + 1</f>
        <v>46259</v>
      </c>
      <c r="AA18" s="22">
        <f t="shared" ref="AA18" si="229">Z18 + 1</f>
        <v>46260</v>
      </c>
      <c r="AB18" s="22">
        <f t="shared" ref="AB18" si="230">AA18 + 1</f>
        <v>46261</v>
      </c>
      <c r="AC18" s="22">
        <f t="shared" ref="AC18" si="231">AB18 + 1</f>
        <v>46262</v>
      </c>
      <c r="AD18" s="22">
        <f t="shared" ref="AD18" si="232">AC18 + 1</f>
        <v>46263</v>
      </c>
      <c r="AE18" s="22">
        <f t="shared" ref="AE18" si="233">AD18 + 1</f>
        <v>46264</v>
      </c>
      <c r="AF18" s="24">
        <f t="shared" ref="AF18" si="234">AE18 + 1</f>
        <v>46265</v>
      </c>
      <c r="AU18" s="45"/>
      <c r="AV18" s="45"/>
      <c r="AW18" s="45"/>
      <c r="AX18" s="45"/>
      <c r="AY18" s="45"/>
    </row>
    <row r="19" spans="1:51">
      <c r="A19" s="160" t="s">
        <v>84</v>
      </c>
      <c r="B19" s="19" t="str">
        <f t="shared" ref="B19:B25" si="235">TEXT(B20,"ddd")</f>
        <v>Tue</v>
      </c>
      <c r="C19" s="19" t="str">
        <f t="shared" si="0"/>
        <v>Wed</v>
      </c>
      <c r="D19" s="19" t="str">
        <f t="shared" si="0"/>
        <v>Thu</v>
      </c>
      <c r="E19" s="19" t="str">
        <f t="shared" si="0"/>
        <v>Fri</v>
      </c>
      <c r="F19" s="19" t="str">
        <f t="shared" si="0"/>
        <v>Sat</v>
      </c>
      <c r="G19" s="19" t="str">
        <f t="shared" si="0"/>
        <v>Sun</v>
      </c>
      <c r="H19" s="60" t="str">
        <f t="shared" ref="H19:AE19" si="236">TEXT(H20,"ddd")</f>
        <v>Mon</v>
      </c>
      <c r="I19" s="27" t="str">
        <f t="shared" si="236"/>
        <v>Tue</v>
      </c>
      <c r="J19" s="27" t="str">
        <f t="shared" si="236"/>
        <v>Wed</v>
      </c>
      <c r="K19" s="27" t="str">
        <f t="shared" si="236"/>
        <v>Thu</v>
      </c>
      <c r="L19" s="27" t="str">
        <f t="shared" si="236"/>
        <v>Fri</v>
      </c>
      <c r="M19" s="27" t="str">
        <f t="shared" si="236"/>
        <v>Sat</v>
      </c>
      <c r="N19" s="27" t="str">
        <f t="shared" si="236"/>
        <v>Sun</v>
      </c>
      <c r="O19" s="27" t="str">
        <f t="shared" si="236"/>
        <v>Mon</v>
      </c>
      <c r="P19" s="19" t="str">
        <f t="shared" si="236"/>
        <v>Tue</v>
      </c>
      <c r="Q19" s="19" t="str">
        <f t="shared" si="236"/>
        <v>Wed</v>
      </c>
      <c r="R19" s="19" t="str">
        <f t="shared" si="236"/>
        <v>Thu</v>
      </c>
      <c r="S19" s="19" t="str">
        <f t="shared" si="236"/>
        <v>Fri</v>
      </c>
      <c r="T19" s="19" t="str">
        <f t="shared" si="236"/>
        <v>Sat</v>
      </c>
      <c r="U19" s="19" t="str">
        <f t="shared" si="236"/>
        <v>Sun</v>
      </c>
      <c r="V19" s="19" t="str">
        <f t="shared" si="236"/>
        <v>Mon</v>
      </c>
      <c r="W19" s="19" t="str">
        <f t="shared" si="236"/>
        <v>Tue</v>
      </c>
      <c r="X19" s="19" t="str">
        <f t="shared" si="236"/>
        <v>Wed</v>
      </c>
      <c r="Y19" s="19" t="str">
        <f t="shared" si="236"/>
        <v>Thu</v>
      </c>
      <c r="Z19" s="19" t="str">
        <f t="shared" si="236"/>
        <v>Fri</v>
      </c>
      <c r="AA19" s="19" t="str">
        <f t="shared" si="236"/>
        <v>Sat</v>
      </c>
      <c r="AB19" s="19" t="str">
        <f t="shared" si="236"/>
        <v>Sun</v>
      </c>
      <c r="AC19" s="19" t="str">
        <f t="shared" si="236"/>
        <v>Mon</v>
      </c>
      <c r="AD19" s="19" t="str">
        <f t="shared" si="236"/>
        <v>Tue</v>
      </c>
      <c r="AE19" s="19" t="str">
        <f t="shared" si="236"/>
        <v>Wed</v>
      </c>
    </row>
    <row r="20" spans="1:51">
      <c r="A20" s="161"/>
      <c r="B20" s="9">
        <f t="shared" ref="B20" si="237">DATE(2026, MONTH(DATEVALUE("1-" &amp; A19)), 1)</f>
        <v>46266</v>
      </c>
      <c r="C20" s="9">
        <f t="shared" ref="C20" si="238">B20 + 1</f>
        <v>46267</v>
      </c>
      <c r="D20" s="9">
        <f t="shared" ref="D20" si="239">C20 + 1</f>
        <v>46268</v>
      </c>
      <c r="E20" s="9">
        <f t="shared" ref="E20" si="240">D20 + 1</f>
        <v>46269</v>
      </c>
      <c r="F20" s="9">
        <f t="shared" ref="F20" si="241">E20 + 1</f>
        <v>46270</v>
      </c>
      <c r="G20" s="9">
        <f t="shared" ref="G20" si="242">F20 + 1</f>
        <v>46271</v>
      </c>
      <c r="H20" s="61">
        <f t="shared" ref="H20" si="243">G20 + 1</f>
        <v>46272</v>
      </c>
      <c r="I20" s="28">
        <f t="shared" ref="I20" si="244">H20 + 1</f>
        <v>46273</v>
      </c>
      <c r="J20" s="28">
        <f t="shared" ref="J20" si="245">I20 + 1</f>
        <v>46274</v>
      </c>
      <c r="K20" s="28">
        <f t="shared" ref="K20" si="246">J20 + 1</f>
        <v>46275</v>
      </c>
      <c r="L20" s="28">
        <f t="shared" ref="L20" si="247">K20 + 1</f>
        <v>46276</v>
      </c>
      <c r="M20" s="28">
        <f t="shared" ref="M20" si="248">L20 + 1</f>
        <v>46277</v>
      </c>
      <c r="N20" s="28">
        <f t="shared" ref="N20:O20" si="249">M20 + 1</f>
        <v>46278</v>
      </c>
      <c r="O20" s="28">
        <f t="shared" si="249"/>
        <v>46279</v>
      </c>
      <c r="P20" s="9">
        <f t="shared" ref="P20" si="250">O20 + 1</f>
        <v>46280</v>
      </c>
      <c r="Q20" s="9">
        <f t="shared" ref="Q20" si="251">P20 + 1</f>
        <v>46281</v>
      </c>
      <c r="R20" s="9">
        <f t="shared" ref="R20" si="252">Q20 + 1</f>
        <v>46282</v>
      </c>
      <c r="S20" s="9">
        <f t="shared" ref="S20" si="253">R20 + 1</f>
        <v>46283</v>
      </c>
      <c r="T20" s="9">
        <f t="shared" ref="T20" si="254">S20 + 1</f>
        <v>46284</v>
      </c>
      <c r="U20" s="9">
        <f t="shared" ref="U20" si="255">T20 + 1</f>
        <v>46285</v>
      </c>
      <c r="V20" s="9">
        <f t="shared" ref="V20" si="256">U20 + 1</f>
        <v>46286</v>
      </c>
      <c r="W20" s="9">
        <f t="shared" ref="W20" si="257">V20 + 1</f>
        <v>46287</v>
      </c>
      <c r="X20" s="9">
        <f t="shared" ref="X20" si="258">W20 + 1</f>
        <v>46288</v>
      </c>
      <c r="Y20" s="9">
        <f t="shared" ref="Y20" si="259">X20 + 1</f>
        <v>46289</v>
      </c>
      <c r="Z20" s="9">
        <f t="shared" ref="Z20" si="260">Y20 + 1</f>
        <v>46290</v>
      </c>
      <c r="AA20" s="9">
        <f t="shared" ref="AA20" si="261">Z20 + 1</f>
        <v>46291</v>
      </c>
      <c r="AB20" s="9">
        <f t="shared" ref="AB20" si="262">AA20 + 1</f>
        <v>46292</v>
      </c>
      <c r="AC20" s="9">
        <f t="shared" ref="AC20" si="263">AB20 + 1</f>
        <v>46293</v>
      </c>
      <c r="AD20" s="9">
        <f t="shared" ref="AD20" si="264">AC20 + 1</f>
        <v>46294</v>
      </c>
      <c r="AE20" s="9">
        <f t="shared" ref="AE20" si="265">AD20 + 1</f>
        <v>46295</v>
      </c>
    </row>
    <row r="21" spans="1:51" s="25" customFormat="1">
      <c r="A21" s="158" t="s">
        <v>85</v>
      </c>
      <c r="B21" s="23" t="str">
        <f t="shared" si="235"/>
        <v>Thu</v>
      </c>
      <c r="C21" s="23" t="str">
        <f t="shared" ref="C21:AF21" si="266">TEXT(C22,"ddd")</f>
        <v>Fri</v>
      </c>
      <c r="D21" s="21" t="str">
        <f t="shared" si="266"/>
        <v>Sat</v>
      </c>
      <c r="E21" s="27" t="str">
        <f t="shared" si="266"/>
        <v>Sun</v>
      </c>
      <c r="F21" s="27" t="str">
        <f t="shared" si="266"/>
        <v>Mon</v>
      </c>
      <c r="G21" s="27" t="str">
        <f t="shared" si="266"/>
        <v>Tue</v>
      </c>
      <c r="H21" s="27" t="str">
        <f t="shared" si="266"/>
        <v>Wed</v>
      </c>
      <c r="I21" s="73" t="str">
        <f t="shared" si="266"/>
        <v>Thu</v>
      </c>
      <c r="J21" s="73" t="str">
        <f t="shared" si="266"/>
        <v>Fri</v>
      </c>
      <c r="K21" s="23" t="str">
        <f t="shared" si="266"/>
        <v>Sat</v>
      </c>
      <c r="L21" s="21" t="str">
        <f t="shared" si="266"/>
        <v>Sun</v>
      </c>
      <c r="M21" s="21" t="str">
        <f t="shared" si="266"/>
        <v>Mon</v>
      </c>
      <c r="N21" s="21" t="str">
        <f t="shared" si="266"/>
        <v>Tue</v>
      </c>
      <c r="O21" s="21" t="str">
        <f t="shared" si="266"/>
        <v>Wed</v>
      </c>
      <c r="P21" s="21" t="str">
        <f t="shared" si="266"/>
        <v>Thu</v>
      </c>
      <c r="Q21" s="21" t="str">
        <f t="shared" si="266"/>
        <v>Fri</v>
      </c>
      <c r="R21" s="27" t="str">
        <f t="shared" si="266"/>
        <v>Sat</v>
      </c>
      <c r="S21" s="27" t="str">
        <f t="shared" si="266"/>
        <v>Sun</v>
      </c>
      <c r="T21" s="21" t="str">
        <f t="shared" si="266"/>
        <v>Mon</v>
      </c>
      <c r="U21" s="21" t="str">
        <f t="shared" si="266"/>
        <v>Tue</v>
      </c>
      <c r="V21" s="21" t="str">
        <f t="shared" si="266"/>
        <v>Wed</v>
      </c>
      <c r="W21" s="21" t="str">
        <f t="shared" si="266"/>
        <v>Thu</v>
      </c>
      <c r="X21" s="21" t="str">
        <f t="shared" si="266"/>
        <v>Fri</v>
      </c>
      <c r="Y21" s="21" t="str">
        <f t="shared" si="266"/>
        <v>Sat</v>
      </c>
      <c r="Z21" s="21" t="str">
        <f t="shared" si="266"/>
        <v>Sun</v>
      </c>
      <c r="AA21" s="21" t="str">
        <f t="shared" si="266"/>
        <v>Mon</v>
      </c>
      <c r="AB21" s="21" t="str">
        <f t="shared" si="266"/>
        <v>Tue</v>
      </c>
      <c r="AC21" s="21" t="str">
        <f t="shared" si="266"/>
        <v>Wed</v>
      </c>
      <c r="AD21" s="21" t="str">
        <f t="shared" si="266"/>
        <v>Thu</v>
      </c>
      <c r="AE21" s="21" t="str">
        <f t="shared" si="266"/>
        <v>Fri</v>
      </c>
      <c r="AF21" s="21" t="str">
        <f t="shared" si="266"/>
        <v>Sat</v>
      </c>
      <c r="AU21" s="45"/>
      <c r="AV21" s="45"/>
      <c r="AW21" s="45"/>
      <c r="AX21" s="45"/>
      <c r="AY21" s="45"/>
    </row>
    <row r="22" spans="1:51" s="25" customFormat="1">
      <c r="A22" s="159"/>
      <c r="B22" s="24">
        <f t="shared" ref="B22" si="267">DATE(2026, MONTH(DATEVALUE("1-" &amp; A21)), 1)</f>
        <v>46296</v>
      </c>
      <c r="C22" s="24">
        <f t="shared" ref="C22" si="268">B22 + 1</f>
        <v>46297</v>
      </c>
      <c r="D22" s="22">
        <f t="shared" ref="D22" si="269">C22 + 1</f>
        <v>46298</v>
      </c>
      <c r="E22" s="28">
        <f t="shared" ref="E22" si="270">D22 + 1</f>
        <v>46299</v>
      </c>
      <c r="F22" s="28">
        <f t="shared" ref="F22" si="271">E22 + 1</f>
        <v>46300</v>
      </c>
      <c r="G22" s="28">
        <f t="shared" ref="G22" si="272">F22 + 1</f>
        <v>46301</v>
      </c>
      <c r="H22" s="28">
        <f t="shared" ref="H22" si="273">G22 + 1</f>
        <v>46302</v>
      </c>
      <c r="I22" s="74">
        <f t="shared" ref="I22" si="274">H22 + 1</f>
        <v>46303</v>
      </c>
      <c r="J22" s="74">
        <f t="shared" ref="J22" si="275">I22 + 1</f>
        <v>46304</v>
      </c>
      <c r="K22" s="24">
        <f t="shared" ref="K22" si="276">J22 + 1</f>
        <v>46305</v>
      </c>
      <c r="L22" s="22">
        <f t="shared" ref="L22" si="277">K22 + 1</f>
        <v>46306</v>
      </c>
      <c r="M22" s="22">
        <f t="shared" ref="M22" si="278">L22 + 1</f>
        <v>46307</v>
      </c>
      <c r="N22" s="22">
        <f t="shared" ref="N22" si="279">M22 + 1</f>
        <v>46308</v>
      </c>
      <c r="O22" s="22">
        <f t="shared" ref="O22" si="280">N22 + 1</f>
        <v>46309</v>
      </c>
      <c r="P22" s="22">
        <f t="shared" ref="P22" si="281">O22 + 1</f>
        <v>46310</v>
      </c>
      <c r="Q22" s="22">
        <f t="shared" ref="Q22" si="282">P22 + 1</f>
        <v>46311</v>
      </c>
      <c r="R22" s="28">
        <f t="shared" ref="R22" si="283">Q22 + 1</f>
        <v>46312</v>
      </c>
      <c r="S22" s="28">
        <f t="shared" ref="S22" si="284">R22 + 1</f>
        <v>46313</v>
      </c>
      <c r="T22" s="22">
        <f t="shared" ref="T22" si="285">S22 + 1</f>
        <v>46314</v>
      </c>
      <c r="U22" s="22">
        <f t="shared" ref="U22" si="286">T22 + 1</f>
        <v>46315</v>
      </c>
      <c r="V22" s="22">
        <f t="shared" ref="V22" si="287">U22 + 1</f>
        <v>46316</v>
      </c>
      <c r="W22" s="22">
        <f t="shared" ref="W22" si="288">V22 + 1</f>
        <v>46317</v>
      </c>
      <c r="X22" s="22">
        <f t="shared" ref="X22" si="289">W22 + 1</f>
        <v>46318</v>
      </c>
      <c r="Y22" s="22">
        <f t="shared" ref="Y22" si="290">X22 + 1</f>
        <v>46319</v>
      </c>
      <c r="Z22" s="22">
        <f t="shared" ref="Z22" si="291">Y22 + 1</f>
        <v>46320</v>
      </c>
      <c r="AA22" s="22">
        <f t="shared" ref="AA22" si="292">Z22 + 1</f>
        <v>46321</v>
      </c>
      <c r="AB22" s="22">
        <f t="shared" ref="AB22" si="293">AA22 + 1</f>
        <v>46322</v>
      </c>
      <c r="AC22" s="22">
        <f t="shared" ref="AC22" si="294">AB22 + 1</f>
        <v>46323</v>
      </c>
      <c r="AD22" s="22">
        <f t="shared" ref="AD22" si="295">AC22 + 1</f>
        <v>46324</v>
      </c>
      <c r="AE22" s="22">
        <f t="shared" ref="AE22" si="296">AD22 + 1</f>
        <v>46325</v>
      </c>
      <c r="AF22" s="22">
        <f t="shared" ref="AF22" si="297">AE22 + 1</f>
        <v>46326</v>
      </c>
      <c r="AU22" s="45"/>
      <c r="AV22" s="45"/>
      <c r="AW22" s="45"/>
      <c r="AX22" s="45"/>
      <c r="AY22" s="45"/>
    </row>
    <row r="23" spans="1:51">
      <c r="A23" s="160" t="s">
        <v>86</v>
      </c>
      <c r="B23" s="19" t="str">
        <f t="shared" si="235"/>
        <v>Sun</v>
      </c>
      <c r="C23" s="19" t="str">
        <f t="shared" ref="C23:AE23" si="298">TEXT(C24,"ddd")</f>
        <v>Mon</v>
      </c>
      <c r="D23" s="19" t="str">
        <f t="shared" si="298"/>
        <v>Tue</v>
      </c>
      <c r="E23" s="19" t="str">
        <f t="shared" si="298"/>
        <v>Wed</v>
      </c>
      <c r="F23" s="19" t="str">
        <f t="shared" si="298"/>
        <v>Thu</v>
      </c>
      <c r="G23" s="19" t="str">
        <f t="shared" si="298"/>
        <v>Fri</v>
      </c>
      <c r="H23" s="19" t="str">
        <f t="shared" si="298"/>
        <v>Sat</v>
      </c>
      <c r="I23" s="19" t="str">
        <f t="shared" si="298"/>
        <v>Sun</v>
      </c>
      <c r="J23" s="19" t="str">
        <f t="shared" si="298"/>
        <v>Mon</v>
      </c>
      <c r="K23" s="19" t="str">
        <f t="shared" si="298"/>
        <v>Tue</v>
      </c>
      <c r="L23" s="19" t="str">
        <f t="shared" si="298"/>
        <v>Wed</v>
      </c>
      <c r="M23" s="19" t="str">
        <f t="shared" si="298"/>
        <v>Thu</v>
      </c>
      <c r="N23" s="19" t="str">
        <f>TEXT(N24,"ddd")</f>
        <v>Fri</v>
      </c>
      <c r="O23" s="19" t="str">
        <f t="shared" si="298"/>
        <v>Sat</v>
      </c>
      <c r="P23" s="19" t="str">
        <f t="shared" si="298"/>
        <v>Sun</v>
      </c>
      <c r="Q23" s="21" t="str">
        <f t="shared" si="298"/>
        <v>Mon</v>
      </c>
      <c r="R23" s="21" t="str">
        <f t="shared" si="298"/>
        <v>Tue</v>
      </c>
      <c r="S23" s="21" t="str">
        <f t="shared" si="298"/>
        <v>Wed</v>
      </c>
      <c r="T23" s="21" t="str">
        <f t="shared" si="298"/>
        <v>Thu</v>
      </c>
      <c r="U23" s="21" t="str">
        <f t="shared" si="298"/>
        <v>Fri</v>
      </c>
      <c r="V23" s="21" t="str">
        <f t="shared" si="298"/>
        <v>Sat</v>
      </c>
      <c r="W23" s="21" t="str">
        <f t="shared" si="298"/>
        <v>Sun</v>
      </c>
      <c r="X23" s="21" t="str">
        <f t="shared" si="298"/>
        <v>Mon</v>
      </c>
      <c r="Y23" s="21" t="str">
        <f t="shared" si="298"/>
        <v>Tue</v>
      </c>
      <c r="Z23" s="19" t="str">
        <f t="shared" si="298"/>
        <v>Wed</v>
      </c>
      <c r="AA23" s="21" t="str">
        <f t="shared" si="298"/>
        <v>Thu</v>
      </c>
      <c r="AB23" s="21" t="str">
        <f t="shared" si="298"/>
        <v>Fri</v>
      </c>
      <c r="AC23" s="21" t="str">
        <f t="shared" si="298"/>
        <v>Sat</v>
      </c>
      <c r="AD23" s="21" t="str">
        <f t="shared" si="298"/>
        <v>Sun</v>
      </c>
      <c r="AE23" s="21" t="str">
        <f t="shared" si="298"/>
        <v>Mon</v>
      </c>
    </row>
    <row r="24" spans="1:51">
      <c r="A24" s="161"/>
      <c r="B24" s="9">
        <f t="shared" ref="B24" si="299">DATE(2026, MONTH(DATEVALUE("1-" &amp; A23)), 1)</f>
        <v>46327</v>
      </c>
      <c r="C24" s="9">
        <f t="shared" ref="C24" si="300">B24 + 1</f>
        <v>46328</v>
      </c>
      <c r="D24" s="9">
        <f t="shared" ref="D24" si="301">C24 + 1</f>
        <v>46329</v>
      </c>
      <c r="E24" s="9">
        <f t="shared" ref="E24" si="302">D24 + 1</f>
        <v>46330</v>
      </c>
      <c r="F24" s="9">
        <f t="shared" ref="F24" si="303">E24 + 1</f>
        <v>46331</v>
      </c>
      <c r="G24" s="9">
        <f t="shared" ref="G24" si="304">F24 + 1</f>
        <v>46332</v>
      </c>
      <c r="H24" s="9">
        <f t="shared" ref="H24" si="305">G24 + 1</f>
        <v>46333</v>
      </c>
      <c r="I24" s="9">
        <f t="shared" ref="I24" si="306">H24 + 1</f>
        <v>46334</v>
      </c>
      <c r="J24" s="9">
        <f t="shared" ref="J24" si="307">I24 + 1</f>
        <v>46335</v>
      </c>
      <c r="K24" s="9">
        <f t="shared" ref="K24" si="308">J24 + 1</f>
        <v>46336</v>
      </c>
      <c r="L24" s="9">
        <f t="shared" ref="L24" si="309">K24 + 1</f>
        <v>46337</v>
      </c>
      <c r="M24" s="9">
        <f t="shared" ref="M24" si="310">L24 + 1</f>
        <v>46338</v>
      </c>
      <c r="N24" s="9">
        <f t="shared" ref="N24" si="311">M24 + 1</f>
        <v>46339</v>
      </c>
      <c r="O24" s="9">
        <f t="shared" ref="O24" si="312">N24 + 1</f>
        <v>46340</v>
      </c>
      <c r="P24" s="9">
        <f t="shared" ref="P24" si="313">O24 + 1</f>
        <v>46341</v>
      </c>
      <c r="Q24" s="22">
        <f t="shared" ref="Q24" si="314">P24 + 1</f>
        <v>46342</v>
      </c>
      <c r="R24" s="22">
        <f t="shared" ref="R24" si="315">Q24 + 1</f>
        <v>46343</v>
      </c>
      <c r="S24" s="22">
        <f t="shared" ref="S24" si="316">R24 + 1</f>
        <v>46344</v>
      </c>
      <c r="T24" s="22">
        <f t="shared" ref="T24" si="317">S24 + 1</f>
        <v>46345</v>
      </c>
      <c r="U24" s="22">
        <f t="shared" ref="U24" si="318">T24 + 1</f>
        <v>46346</v>
      </c>
      <c r="V24" s="22">
        <f t="shared" ref="V24" si="319">U24 + 1</f>
        <v>46347</v>
      </c>
      <c r="W24" s="22">
        <f t="shared" ref="W24" si="320">V24 + 1</f>
        <v>46348</v>
      </c>
      <c r="X24" s="22">
        <f t="shared" ref="X24" si="321">W24 + 1</f>
        <v>46349</v>
      </c>
      <c r="Y24" s="22">
        <f t="shared" ref="Y24" si="322">X24 + 1</f>
        <v>46350</v>
      </c>
      <c r="Z24" s="9">
        <f t="shared" ref="Z24" si="323">Y24 + 1</f>
        <v>46351</v>
      </c>
      <c r="AA24" s="22">
        <f t="shared" ref="AA24" si="324">Z24 + 1</f>
        <v>46352</v>
      </c>
      <c r="AB24" s="22">
        <f t="shared" ref="AB24" si="325">AA24 + 1</f>
        <v>46353</v>
      </c>
      <c r="AC24" s="22">
        <f t="shared" ref="AC24" si="326">AB24 + 1</f>
        <v>46354</v>
      </c>
      <c r="AD24" s="22">
        <f t="shared" ref="AD24" si="327">AC24 + 1</f>
        <v>46355</v>
      </c>
      <c r="AE24" s="22">
        <f t="shared" ref="AE24" si="328">AD24 + 1</f>
        <v>46356</v>
      </c>
    </row>
    <row r="25" spans="1:51" s="25" customFormat="1">
      <c r="A25" s="158" t="s">
        <v>87</v>
      </c>
      <c r="B25" s="21" t="str">
        <f t="shared" si="235"/>
        <v>Tue</v>
      </c>
      <c r="C25" s="23" t="str">
        <f t="shared" ref="C25:AF25" si="329">TEXT(C26,"ddd")</f>
        <v>Wed</v>
      </c>
      <c r="D25" s="23" t="str">
        <f t="shared" si="329"/>
        <v>Thu</v>
      </c>
      <c r="E25" s="23" t="str">
        <f t="shared" si="329"/>
        <v>Fri</v>
      </c>
      <c r="F25" s="21" t="str">
        <f t="shared" si="329"/>
        <v>Sat</v>
      </c>
      <c r="G25" s="21" t="str">
        <f t="shared" si="329"/>
        <v>Sun</v>
      </c>
      <c r="H25" s="21" t="str">
        <f t="shared" si="329"/>
        <v>Mon</v>
      </c>
      <c r="I25" s="21" t="str">
        <f t="shared" si="329"/>
        <v>Tue</v>
      </c>
      <c r="J25" s="21" t="str">
        <f t="shared" si="329"/>
        <v>Wed</v>
      </c>
      <c r="K25" s="21" t="str">
        <f t="shared" si="329"/>
        <v>Thu</v>
      </c>
      <c r="L25" s="21" t="str">
        <f t="shared" si="329"/>
        <v>Fri</v>
      </c>
      <c r="M25" s="21" t="str">
        <f t="shared" si="329"/>
        <v>Sat</v>
      </c>
      <c r="N25" s="21" t="str">
        <f t="shared" si="329"/>
        <v>Sun</v>
      </c>
      <c r="O25" s="21" t="str">
        <f t="shared" si="329"/>
        <v>Mon</v>
      </c>
      <c r="P25" s="21" t="str">
        <f t="shared" si="329"/>
        <v>Tue</v>
      </c>
      <c r="Q25" s="21" t="str">
        <f t="shared" si="329"/>
        <v>Wed</v>
      </c>
      <c r="R25" s="21" t="str">
        <f t="shared" si="329"/>
        <v>Thu</v>
      </c>
      <c r="S25" s="21" t="str">
        <f t="shared" si="329"/>
        <v>Fri</v>
      </c>
      <c r="T25" s="21" t="str">
        <f t="shared" si="329"/>
        <v>Sat</v>
      </c>
      <c r="U25" s="21" t="str">
        <f t="shared" si="329"/>
        <v>Sun</v>
      </c>
      <c r="V25" s="23" t="str">
        <f t="shared" si="329"/>
        <v>Mon</v>
      </c>
      <c r="W25" s="23" t="str">
        <f t="shared" si="329"/>
        <v>Tue</v>
      </c>
      <c r="X25" s="23" t="str">
        <f t="shared" si="329"/>
        <v>Wed</v>
      </c>
      <c r="Y25" s="23" t="str">
        <f t="shared" si="329"/>
        <v>Thu</v>
      </c>
      <c r="Z25" s="23" t="str">
        <f t="shared" si="329"/>
        <v>Fri</v>
      </c>
      <c r="AA25" s="23" t="str">
        <f t="shared" si="329"/>
        <v>Sat</v>
      </c>
      <c r="AB25" s="23" t="str">
        <f t="shared" si="329"/>
        <v>Sun</v>
      </c>
      <c r="AC25" s="23" t="str">
        <f t="shared" si="329"/>
        <v>Mon</v>
      </c>
      <c r="AD25" s="23" t="str">
        <f t="shared" si="329"/>
        <v>Tue</v>
      </c>
      <c r="AE25" s="23" t="str">
        <f t="shared" si="329"/>
        <v>Wed</v>
      </c>
      <c r="AF25" s="23" t="str">
        <f t="shared" si="329"/>
        <v>Thu</v>
      </c>
      <c r="AU25" s="45"/>
      <c r="AV25" s="45"/>
      <c r="AW25" s="45"/>
      <c r="AX25" s="45"/>
      <c r="AY25" s="45"/>
    </row>
    <row r="26" spans="1:51" s="25" customFormat="1">
      <c r="A26" s="159"/>
      <c r="B26" s="22">
        <f t="shared" ref="B26" si="330">DATE(2026, MONTH(DATEVALUE("1-" &amp; A25)), 1)</f>
        <v>46357</v>
      </c>
      <c r="C26" s="24">
        <f t="shared" ref="C26" si="331">B26 + 1</f>
        <v>46358</v>
      </c>
      <c r="D26" s="24">
        <f t="shared" ref="D26" si="332">C26 + 1</f>
        <v>46359</v>
      </c>
      <c r="E26" s="24">
        <f t="shared" ref="E26" si="333">D26 + 1</f>
        <v>46360</v>
      </c>
      <c r="F26" s="22">
        <f t="shared" ref="F26" si="334">E26 + 1</f>
        <v>46361</v>
      </c>
      <c r="G26" s="22">
        <f t="shared" ref="G26" si="335">F26 + 1</f>
        <v>46362</v>
      </c>
      <c r="H26" s="22">
        <f t="shared" ref="H26" si="336">G26 + 1</f>
        <v>46363</v>
      </c>
      <c r="I26" s="22">
        <f t="shared" ref="I26" si="337">H26 + 1</f>
        <v>46364</v>
      </c>
      <c r="J26" s="22">
        <f t="shared" ref="J26" si="338">I26 + 1</f>
        <v>46365</v>
      </c>
      <c r="K26" s="22">
        <f t="shared" ref="K26" si="339">J26 + 1</f>
        <v>46366</v>
      </c>
      <c r="L26" s="22">
        <f t="shared" ref="L26" si="340">K26 + 1</f>
        <v>46367</v>
      </c>
      <c r="M26" s="22">
        <f t="shared" ref="M26" si="341">L26 + 1</f>
        <v>46368</v>
      </c>
      <c r="N26" s="22">
        <f t="shared" ref="N26" si="342">M26 + 1</f>
        <v>46369</v>
      </c>
      <c r="O26" s="22">
        <f t="shared" ref="O26" si="343">N26 + 1</f>
        <v>46370</v>
      </c>
      <c r="P26" s="22">
        <f t="shared" ref="P26" si="344">O26 + 1</f>
        <v>46371</v>
      </c>
      <c r="Q26" s="22">
        <f t="shared" ref="Q26" si="345">P26 + 1</f>
        <v>46372</v>
      </c>
      <c r="R26" s="22">
        <f t="shared" ref="R26" si="346">Q26 + 1</f>
        <v>46373</v>
      </c>
      <c r="S26" s="22">
        <f t="shared" ref="S26" si="347">R26 + 1</f>
        <v>46374</v>
      </c>
      <c r="T26" s="22">
        <f t="shared" ref="T26" si="348">S26 + 1</f>
        <v>46375</v>
      </c>
      <c r="U26" s="22">
        <f t="shared" ref="U26" si="349">T26 + 1</f>
        <v>46376</v>
      </c>
      <c r="V26" s="24">
        <f t="shared" ref="V26" si="350">U26 + 1</f>
        <v>46377</v>
      </c>
      <c r="W26" s="24">
        <f t="shared" ref="W26" si="351">V26 + 1</f>
        <v>46378</v>
      </c>
      <c r="X26" s="24">
        <f t="shared" ref="X26" si="352">W26 + 1</f>
        <v>46379</v>
      </c>
      <c r="Y26" s="24">
        <f t="shared" ref="Y26" si="353">X26 + 1</f>
        <v>46380</v>
      </c>
      <c r="Z26" s="24">
        <f t="shared" ref="Z26" si="354">Y26 + 1</f>
        <v>46381</v>
      </c>
      <c r="AA26" s="24">
        <f t="shared" ref="AA26" si="355">Z26 + 1</f>
        <v>46382</v>
      </c>
      <c r="AB26" s="24">
        <f t="shared" ref="AB26" si="356">AA26 + 1</f>
        <v>46383</v>
      </c>
      <c r="AC26" s="24">
        <f t="shared" ref="AC26" si="357">AB26 + 1</f>
        <v>46384</v>
      </c>
      <c r="AD26" s="24">
        <f t="shared" ref="AD26" si="358">AC26 + 1</f>
        <v>46385</v>
      </c>
      <c r="AE26" s="24">
        <f t="shared" ref="AE26" si="359">AD26 + 1</f>
        <v>46386</v>
      </c>
      <c r="AF26" s="24">
        <f t="shared" ref="AF26" si="360">AE26 + 1</f>
        <v>46387</v>
      </c>
      <c r="AU26" s="45"/>
      <c r="AV26" s="45"/>
      <c r="AW26" s="45"/>
      <c r="AX26" s="45"/>
      <c r="AY26" s="45"/>
    </row>
  </sheetData>
  <sheetProtection algorithmName="SHA-512" hashValue="wwg+8OSksmC4henJ8aqWi89VpheDPfIzwJwaZtP0v869KO7at1eusPU3aQdMRRTyG+1cN/ITu2yYwOv4LFDokQ==" saltValue="vL67IBg1bbSqD3LfMS1LwA==" spinCount="100000" sheet="1" objects="1" scenarios="1"/>
  <mergeCells count="14">
    <mergeCell ref="AC1:AF1"/>
    <mergeCell ref="A21:A22"/>
    <mergeCell ref="A23:A24"/>
    <mergeCell ref="A25:A26"/>
    <mergeCell ref="A15:A16"/>
    <mergeCell ref="A17:A18"/>
    <mergeCell ref="A19:A20"/>
    <mergeCell ref="A3:A4"/>
    <mergeCell ref="A9:A10"/>
    <mergeCell ref="A11:A12"/>
    <mergeCell ref="A13:A14"/>
    <mergeCell ref="A5:A6"/>
    <mergeCell ref="A7:A8"/>
    <mergeCell ref="B1:AA1"/>
  </mergeCells>
  <phoneticPr fontId="8" type="noConversion"/>
  <pageMargins left="0.7" right="0.7" top="0.75" bottom="0.75" header="0.3" footer="0.3"/>
  <ignoredErrors>
    <ignoredError sqref="E4 B4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D7FE25A9-D4F2-42FB-B6E2-6D1D10DC3FA3}">
            <xm:f>OR(COUNTIF(國定假日!$A:$A, B$6)&gt;0, B$5="Sat", B$5="Sun")</xm:f>
            <x14:dxf>
              <font>
                <color rgb="FFFF0000"/>
              </font>
            </x14:dxf>
          </x14:cfRule>
          <xm:sqref>B5:AC6</xm:sqref>
        </x14:conditionalFormatting>
        <x14:conditionalFormatting xmlns:xm="http://schemas.microsoft.com/office/excel/2006/main">
          <x14:cfRule type="expression" priority="10" id="{35C70F01-128D-45B9-BE78-784741FE835C}">
            <xm:f>OR(COUNTIF(國定假日!$A:$A, B$10)&gt;0, B$9="Sat", B$9="Sun")</xm:f>
            <x14:dxf>
              <font>
                <color rgb="FFFF0000"/>
              </font>
            </x14:dxf>
          </x14:cfRule>
          <xm:sqref>B9:AE10</xm:sqref>
        </x14:conditionalFormatting>
        <x14:conditionalFormatting xmlns:xm="http://schemas.microsoft.com/office/excel/2006/main">
          <x14:cfRule type="expression" priority="8" id="{C17B0F45-FC37-44F2-8339-E4BB6FA3089B}">
            <xm:f>OR(COUNTIF(國定假日!$A:$A, B$14)&gt;0, B$13="Sat", B$13="Sun")</xm:f>
            <x14:dxf>
              <font>
                <color rgb="FFFF0000"/>
              </font>
            </x14:dxf>
          </x14:cfRule>
          <xm:sqref>B13:AE14</xm:sqref>
        </x14:conditionalFormatting>
        <x14:conditionalFormatting xmlns:xm="http://schemas.microsoft.com/office/excel/2006/main">
          <x14:cfRule type="expression" priority="5" id="{B951A3FB-6506-43D6-9F7C-1B456019D10C}">
            <xm:f>OR(COUNTIF(國定假日!$A:$A, B$20)&gt;0, B$19="Sat", B$19="Sun")</xm:f>
            <x14:dxf>
              <font>
                <color rgb="FFFF0000"/>
              </font>
            </x14:dxf>
          </x14:cfRule>
          <xm:sqref>B19:AE20</xm:sqref>
        </x14:conditionalFormatting>
        <x14:conditionalFormatting xmlns:xm="http://schemas.microsoft.com/office/excel/2006/main">
          <x14:cfRule type="expression" priority="3" id="{7EC13C3C-6250-4042-8241-FB5E561A4978}">
            <xm:f>OR(COUNTIF(國定假日!$A:$A, B$24)&gt;0, B$23="Sat", B$23="Sun")</xm:f>
            <x14:dxf>
              <font>
                <color rgb="FFFF0000"/>
              </font>
            </x14:dxf>
          </x14:cfRule>
          <xm:sqref>B23:AE24</xm:sqref>
        </x14:conditionalFormatting>
        <x14:conditionalFormatting xmlns:xm="http://schemas.microsoft.com/office/excel/2006/main">
          <x14:cfRule type="expression" priority="1" id="{77FC4E5C-A99B-4E11-974D-919C21166EC3}">
            <xm:f>OR(COUNTIF(國定假日!$A:$A, B$4)&gt;0, B$3="Sat", B$3="Sun")</xm:f>
            <x14:dxf>
              <font>
                <color rgb="FFFF0000"/>
              </font>
            </x14:dxf>
          </x14:cfRule>
          <xm:sqref>B3:AF4</xm:sqref>
        </x14:conditionalFormatting>
        <x14:conditionalFormatting xmlns:xm="http://schemas.microsoft.com/office/excel/2006/main">
          <x14:cfRule type="expression" priority="11" id="{AB45EE6F-F2E1-48D3-A87D-0487FD67AD11}">
            <xm:f>OR(COUNTIF(國定假日!$A:$A, B$8)&gt;0, B$7="Sat", B$7="Sun")</xm:f>
            <x14:dxf>
              <font>
                <color rgb="FFFF0000"/>
              </font>
            </x14:dxf>
          </x14:cfRule>
          <xm:sqref>B7:AF8</xm:sqref>
        </x14:conditionalFormatting>
        <x14:conditionalFormatting xmlns:xm="http://schemas.microsoft.com/office/excel/2006/main">
          <x14:cfRule type="expression" priority="9" id="{9CB8DEEE-7EC6-484B-91B3-D829A12C7AFA}">
            <xm:f>OR(COUNTIF(國定假日!$A:$A, B$12)&gt;0, B$11="Sat", B$11="Sun")</xm:f>
            <x14:dxf>
              <font>
                <color rgb="FFFF0000"/>
              </font>
            </x14:dxf>
          </x14:cfRule>
          <xm:sqref>B11:AF12</xm:sqref>
        </x14:conditionalFormatting>
        <x14:conditionalFormatting xmlns:xm="http://schemas.microsoft.com/office/excel/2006/main">
          <x14:cfRule type="expression" priority="7" id="{263B2C35-6F7F-4926-940D-79C1CAB3CD6A}">
            <xm:f>OR(COUNTIF(國定假日!$A:$A, B$16)&gt;0, B$15="Sat", B$15="Sun")</xm:f>
            <x14:dxf>
              <font>
                <color rgb="FFFF0000"/>
              </font>
            </x14:dxf>
          </x14:cfRule>
          <xm:sqref>B15:AF16</xm:sqref>
        </x14:conditionalFormatting>
        <x14:conditionalFormatting xmlns:xm="http://schemas.microsoft.com/office/excel/2006/main">
          <x14:cfRule type="expression" priority="6" id="{8680678B-6093-4BEE-8625-CA3D4428F880}">
            <xm:f>OR(COUNTIF(國定假日!$A:$A, B$18)&gt;0, B$17="Sat", B$17="Sun")</xm:f>
            <x14:dxf>
              <font>
                <color rgb="FFFF0000"/>
              </font>
            </x14:dxf>
          </x14:cfRule>
          <xm:sqref>B17:AF18</xm:sqref>
        </x14:conditionalFormatting>
        <x14:conditionalFormatting xmlns:xm="http://schemas.microsoft.com/office/excel/2006/main">
          <x14:cfRule type="expression" priority="4" id="{BCAEDAC8-6BA3-4AE6-BD98-BBA4A7134070}">
            <xm:f>OR(COUNTIF(國定假日!$A:$A, B$22)&gt;0, B$21="Sat", B$21="Sun")</xm:f>
            <x14:dxf>
              <font>
                <color rgb="FFFF0000"/>
              </font>
            </x14:dxf>
          </x14:cfRule>
          <xm:sqref>B21:AF22</xm:sqref>
        </x14:conditionalFormatting>
        <x14:conditionalFormatting xmlns:xm="http://schemas.microsoft.com/office/excel/2006/main">
          <x14:cfRule type="expression" priority="2" id="{EE01A903-0C29-44FD-8505-682C8C07C0E4}">
            <xm:f>OR(COUNTIF(國定假日!$A:$A, B$26)&gt;0, B$25="Sat", B$25="Sun")</xm:f>
            <x14:dxf>
              <font>
                <color rgb="FFFF0000"/>
              </font>
            </x14:dxf>
          </x14:cfRule>
          <xm:sqref>B25:AF26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59B584-660C-4862-978D-A5D557B66CE8}">
          <x14:formula1>
            <xm:f>List!$C$1:$C$13</xm:f>
          </x14:formula1>
          <xm:sqref>A3:A26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DF284-99C9-41C6-A0BA-02C29156B297}">
  <dimension ref="A1:B21"/>
  <sheetViews>
    <sheetView workbookViewId="0">
      <selection activeCell="B16" sqref="B16"/>
    </sheetView>
  </sheetViews>
  <sheetFormatPr defaultColWidth="9.125" defaultRowHeight="18"/>
  <cols>
    <col min="1" max="1" width="14.375" style="20" bestFit="1" customWidth="1"/>
    <col min="2" max="2" width="54.125" style="6" bestFit="1" customWidth="1"/>
    <col min="3" max="16384" width="9.125" style="6"/>
  </cols>
  <sheetData>
    <row r="1" spans="1:2">
      <c r="A1" s="20">
        <v>46016</v>
      </c>
    </row>
    <row r="2" spans="1:2">
      <c r="A2" s="20">
        <v>46023</v>
      </c>
      <c r="B2" s="6" t="s">
        <v>88</v>
      </c>
    </row>
    <row r="3" spans="1:2">
      <c r="A3" s="20">
        <v>46069</v>
      </c>
      <c r="B3" s="163" t="s">
        <v>89</v>
      </c>
    </row>
    <row r="4" spans="1:2">
      <c r="A4" s="20">
        <v>46070</v>
      </c>
      <c r="B4" s="163"/>
    </row>
    <row r="5" spans="1:2">
      <c r="A5" s="20">
        <v>46071</v>
      </c>
      <c r="B5" s="163"/>
    </row>
    <row r="6" spans="1:2">
      <c r="A6" s="20">
        <v>46072</v>
      </c>
      <c r="B6" s="163"/>
    </row>
    <row r="7" spans="1:2">
      <c r="A7" s="20">
        <v>46073</v>
      </c>
      <c r="B7" s="163"/>
    </row>
    <row r="8" spans="1:2">
      <c r="A8" s="20">
        <v>46074</v>
      </c>
      <c r="B8" s="163"/>
    </row>
    <row r="9" spans="1:2">
      <c r="A9" s="20">
        <v>46075</v>
      </c>
      <c r="B9" s="163"/>
    </row>
    <row r="10" spans="1:2">
      <c r="A10" s="20">
        <v>46080</v>
      </c>
      <c r="B10" s="6" t="s">
        <v>90</v>
      </c>
    </row>
    <row r="11" spans="1:2">
      <c r="A11" s="20">
        <v>46115</v>
      </c>
      <c r="B11" s="163" t="s">
        <v>91</v>
      </c>
    </row>
    <row r="12" spans="1:2">
      <c r="A12" s="20">
        <v>46116</v>
      </c>
      <c r="B12" s="163"/>
    </row>
    <row r="13" spans="1:2">
      <c r="A13" s="20">
        <v>46117</v>
      </c>
      <c r="B13" s="163"/>
    </row>
    <row r="14" spans="1:2">
      <c r="A14" s="20">
        <v>46118</v>
      </c>
      <c r="B14" s="163"/>
    </row>
    <row r="15" spans="1:2">
      <c r="A15" s="20">
        <v>46143</v>
      </c>
      <c r="B15" s="6" t="s">
        <v>92</v>
      </c>
    </row>
    <row r="16" spans="1:2">
      <c r="A16" s="20">
        <v>46192</v>
      </c>
      <c r="B16" s="6" t="s">
        <v>93</v>
      </c>
    </row>
    <row r="17" spans="1:2">
      <c r="A17" s="20">
        <v>46290</v>
      </c>
      <c r="B17" s="6" t="s">
        <v>94</v>
      </c>
    </row>
    <row r="18" spans="1:2">
      <c r="A18" s="20">
        <v>46293</v>
      </c>
      <c r="B18" s="6" t="s">
        <v>95</v>
      </c>
    </row>
    <row r="19" spans="1:2">
      <c r="A19" s="20">
        <v>46304</v>
      </c>
      <c r="B19" s="6" t="s">
        <v>96</v>
      </c>
    </row>
    <row r="20" spans="1:2">
      <c r="A20" s="20">
        <v>46321</v>
      </c>
      <c r="B20" s="6" t="s">
        <v>97</v>
      </c>
    </row>
    <row r="21" spans="1:2">
      <c r="A21" s="20">
        <v>46381</v>
      </c>
      <c r="B21" s="6" t="s">
        <v>98</v>
      </c>
    </row>
  </sheetData>
  <sheetProtection algorithmName="SHA-512" hashValue="8Dx7LP6bnQPcFbzCKCOFVxTyjNgYiaRVQ4CzONK8CKB+BUVAGwP+AHXUS5pF0Sj1AqCFOuOjmcx+WF42fIRR+A==" saltValue="VeixXAr7A1Kvj9l9B8zZxw==" spinCount="100000" sheet="1" objects="1" scenarios="1"/>
  <mergeCells count="2">
    <mergeCell ref="B3:B9"/>
    <mergeCell ref="B11:B14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1A1AE-C64A-4F03-8011-9F0771881FCF}">
  <dimension ref="A1:F19"/>
  <sheetViews>
    <sheetView workbookViewId="0">
      <selection activeCell="B6" sqref="B6"/>
    </sheetView>
  </sheetViews>
  <sheetFormatPr defaultColWidth="9.125" defaultRowHeight="14.4"/>
  <cols>
    <col min="1" max="1" width="21.375" style="1" bestFit="1" customWidth="1"/>
    <col min="2" max="2" width="12.75" style="2" customWidth="1"/>
    <col min="3" max="3" width="15.375" style="2" customWidth="1"/>
    <col min="4" max="4" width="6.375" style="1" customWidth="1"/>
    <col min="5" max="5" width="6.25" style="1" bestFit="1" customWidth="1"/>
    <col min="6" max="16384" width="9.125" style="1"/>
  </cols>
  <sheetData>
    <row r="1" spans="1:6">
      <c r="A1" s="17" t="s">
        <v>99</v>
      </c>
      <c r="B1" s="51" t="s">
        <v>16</v>
      </c>
      <c r="C1" s="17" t="s">
        <v>100</v>
      </c>
      <c r="D1" s="17">
        <v>11</v>
      </c>
      <c r="E1" s="47" t="s">
        <v>33</v>
      </c>
      <c r="F1" s="1" t="s">
        <v>101</v>
      </c>
    </row>
    <row r="2" spans="1:6">
      <c r="A2" s="17" t="s">
        <v>102</v>
      </c>
      <c r="B2" s="51" t="s">
        <v>30</v>
      </c>
      <c r="C2" s="17" t="s">
        <v>77</v>
      </c>
      <c r="D2" s="17">
        <v>11</v>
      </c>
      <c r="E2" s="1" t="s">
        <v>103</v>
      </c>
      <c r="F2" s="1" t="s">
        <v>35</v>
      </c>
    </row>
    <row r="3" spans="1:6">
      <c r="A3" s="17" t="s">
        <v>104</v>
      </c>
      <c r="B3" s="51" t="s">
        <v>37</v>
      </c>
      <c r="C3" s="17" t="s">
        <v>105</v>
      </c>
      <c r="D3" s="17">
        <v>11</v>
      </c>
      <c r="E3" s="1" t="s">
        <v>106</v>
      </c>
      <c r="F3" s="1" t="s">
        <v>107</v>
      </c>
    </row>
    <row r="4" spans="1:6">
      <c r="A4" s="17" t="s">
        <v>108</v>
      </c>
      <c r="B4" s="3" t="s">
        <v>15</v>
      </c>
      <c r="C4" s="17" t="s">
        <v>80</v>
      </c>
      <c r="D4" s="17">
        <v>10</v>
      </c>
      <c r="E4" s="1" t="s">
        <v>109</v>
      </c>
      <c r="F4" s="1" t="s">
        <v>110</v>
      </c>
    </row>
    <row r="5" spans="1:6">
      <c r="A5" s="17" t="s">
        <v>111</v>
      </c>
      <c r="B5" s="51" t="s">
        <v>17</v>
      </c>
      <c r="C5" s="17" t="s">
        <v>112</v>
      </c>
      <c r="D5" s="17">
        <v>10</v>
      </c>
      <c r="E5" s="1" t="s">
        <v>113</v>
      </c>
      <c r="F5" s="1" t="s">
        <v>18</v>
      </c>
    </row>
    <row r="6" spans="1:6">
      <c r="A6" s="17" t="s">
        <v>114</v>
      </c>
      <c r="B6" s="51" t="s">
        <v>115</v>
      </c>
      <c r="C6" s="17" t="s">
        <v>0</v>
      </c>
      <c r="D6" s="17">
        <v>10</v>
      </c>
      <c r="E6" s="1" t="s">
        <v>39</v>
      </c>
      <c r="F6" s="1" t="s">
        <v>116</v>
      </c>
    </row>
    <row r="7" spans="1:6">
      <c r="A7" s="17" t="s">
        <v>117</v>
      </c>
      <c r="B7" s="51" t="s">
        <v>43</v>
      </c>
      <c r="C7" s="17" t="s">
        <v>82</v>
      </c>
      <c r="D7" s="17">
        <v>9</v>
      </c>
      <c r="E7" s="1" t="s">
        <v>118</v>
      </c>
      <c r="F7" s="1" t="s">
        <v>24</v>
      </c>
    </row>
    <row r="8" spans="1:6">
      <c r="A8" s="17" t="s">
        <v>119</v>
      </c>
      <c r="B8" s="18" t="s">
        <v>120</v>
      </c>
      <c r="C8" s="17" t="s">
        <v>121</v>
      </c>
      <c r="D8" s="17">
        <v>9</v>
      </c>
    </row>
    <row r="9" spans="1:6">
      <c r="A9" s="17" t="s">
        <v>122</v>
      </c>
      <c r="B9" s="18" t="s">
        <v>123</v>
      </c>
      <c r="C9" s="17" t="s">
        <v>124</v>
      </c>
      <c r="D9" s="17">
        <v>10</v>
      </c>
    </row>
    <row r="10" spans="1:6">
      <c r="A10" s="17" t="s">
        <v>125</v>
      </c>
      <c r="C10" s="17" t="s">
        <v>126</v>
      </c>
      <c r="D10" s="17">
        <v>10</v>
      </c>
    </row>
    <row r="11" spans="1:6">
      <c r="A11" s="17"/>
      <c r="B11" s="17"/>
      <c r="C11" s="17" t="s">
        <v>86</v>
      </c>
      <c r="D11" s="17">
        <v>10</v>
      </c>
    </row>
    <row r="12" spans="1:6">
      <c r="A12" s="17"/>
      <c r="C12" s="17" t="s">
        <v>87</v>
      </c>
      <c r="D12" s="17">
        <v>9</v>
      </c>
    </row>
    <row r="13" spans="1:6" ht="15.6">
      <c r="A13" s="5"/>
    </row>
    <row r="14" spans="1:6" ht="15.6">
      <c r="A14" s="5"/>
    </row>
    <row r="15" spans="1:6">
      <c r="B15" s="4"/>
      <c r="C15" s="4"/>
    </row>
    <row r="16" spans="1:6">
      <c r="B16" s="3"/>
      <c r="C16" s="3"/>
    </row>
    <row r="17" spans="1:3" ht="15.6">
      <c r="A17" s="5"/>
    </row>
    <row r="18" spans="1:3" ht="15.6">
      <c r="A18" s="5"/>
    </row>
    <row r="19" spans="1:3">
      <c r="B19" s="4"/>
      <c r="C19" s="4"/>
    </row>
  </sheetData>
  <sortState xmlns:xlrd2="http://schemas.microsoft.com/office/spreadsheetml/2017/richdata2" ref="A2:A8">
    <sortCondition ref="A2:A8"/>
  </sortState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EE224BA4573F47A1CAABCE7EF61D75" ma:contentTypeVersion="26" ma:contentTypeDescription="Create a new document." ma:contentTypeScope="" ma:versionID="625fb54adf5c52fbb5f1e6d06b231a0c">
  <xsd:schema xmlns:xsd="http://www.w3.org/2001/XMLSchema" xmlns:xs="http://www.w3.org/2001/XMLSchema" xmlns:p="http://schemas.microsoft.com/office/2006/metadata/properties" xmlns:ns2="f2a46d34-31ee-43fb-b156-82bed98ce464" xmlns:ns3="e9de7944-dd7d-4cec-bbfa-08e77e35b29f" targetNamespace="http://schemas.microsoft.com/office/2006/metadata/properties" ma:root="true" ma:fieldsID="236c278fcaae31c15565a39ace440d02" ns2:_="" ns3:_="">
    <xsd:import namespace="f2a46d34-31ee-43fb-b156-82bed98ce464"/>
    <xsd:import namespace="e9de7944-dd7d-4cec-bbfa-08e77e35b29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_x0031_" minOccurs="0"/>
                <xsd:element ref="ns2:_x0032_" minOccurs="0"/>
                <xsd:element ref="ns2:_x6392__x5e8f_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46d34-31ee-43fb-b156-82bed98ce464" elementFormDefault="qualified">
    <xsd:import namespace="http://schemas.microsoft.com/office/2006/documentManagement/types"/>
    <xsd:import namespace="http://schemas.microsoft.com/office/infopath/2007/PartnerControls"/>
    <xsd:element name="_dlc_DocId" ma:index="4" nillable="true" ma:displayName="Document ID Value" ma:description="The value of the document ID assigned to this item." ma:internalName="_dlc_DocId" ma:readOnly="false">
      <xsd:simpleType>
        <xsd:restriction base="dms:Text"/>
      </xsd:simpleType>
    </xsd:element>
    <xsd:element name="_dlc_DocIdUrl" ma:index="5" nillable="true" ma:displayName="Document ID" ma:description="Permanent link to this document." ma:format="Hyperlink" ma:hidden="true" ma:internalName="_dlc_DocId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6" nillable="true" ma:displayName="Persist ID" ma:description="Keep ID on add." ma:hidden="true" ma:internalName="_dlc_DocIdPersistId" ma:readOnly="false">
      <xsd:simpleType>
        <xsd:restriction base="dms:Boolean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aa6bc26-8dc5-4c91-bed4-7e5f1f5a6b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x0031_" ma:index="24" nillable="true" ma:displayName="1" ma:format="Dropdown" ma:internalName="_x0031_" ma:percentage="FALSE">
      <xsd:simpleType>
        <xsd:restriction base="dms:Number"/>
      </xsd:simpleType>
    </xsd:element>
    <xsd:element name="_x0032_" ma:index="25" nillable="true" ma:displayName="2" ma:format="Dropdown" ma:internalName="_x0032_">
      <xsd:simpleType>
        <xsd:restriction base="dms:Text">
          <xsd:maxLength value="255"/>
        </xsd:restriction>
      </xsd:simpleType>
    </xsd:element>
    <xsd:element name="_x6392__x5e8f_" ma:index="26" nillable="true" ma:displayName="排序" ma:format="Dropdown" ma:internalName="_x6392__x5e8f_" ma:percentage="FALSE">
      <xsd:simpleType>
        <xsd:restriction base="dms:Number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de7944-dd7d-4cec-bbfa-08e77e35b29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acbb251-9c4c-44b7-b75a-574f59a62fcf}" ma:internalName="TaxCatchAll" ma:showField="CatchAllData" ma:web="e9de7944-dd7d-4cec-bbfa-08e77e35b2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a46d34-31ee-43fb-b156-82bed98ce464">
      <Terms xmlns="http://schemas.microsoft.com/office/infopath/2007/PartnerControls"/>
    </lcf76f155ced4ddcb4097134ff3c332f>
    <TaxCatchAll xmlns="e9de7944-dd7d-4cec-bbfa-08e77e35b29f" xsi:nil="true"/>
    <_dlc_DocIdUrl xmlns="f2a46d34-31ee-43fb-b156-82bed98ce464">
      <Url xsi:nil="true"/>
      <Description xsi:nil="true"/>
    </_dlc_DocIdUrl>
    <_x0032_ xmlns="f2a46d34-31ee-43fb-b156-82bed98ce464" xsi:nil="true"/>
    <_x0031_ xmlns="f2a46d34-31ee-43fb-b156-82bed98ce464" xsi:nil="true"/>
    <_dlc_DocId xmlns="f2a46d34-31ee-43fb-b156-82bed98ce464" xsi:nil="true"/>
    <_dlc_DocIdPersistId xmlns="f2a46d34-31ee-43fb-b156-82bed98ce464" xsi:nil="true"/>
    <_x6392__x5e8f_ xmlns="f2a46d34-31ee-43fb-b156-82bed98ce464" xsi:nil="true"/>
    <SharedWithUsers xmlns="e9de7944-dd7d-4cec-bbfa-08e77e35b29f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7F9DFAE-E968-4B44-B4FC-35956576CDB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7398CCF-DAA3-42B1-87B5-ABC22D488898}"/>
</file>

<file path=customXml/itemProps3.xml><?xml version="1.0" encoding="utf-8"?>
<ds:datastoreItem xmlns:ds="http://schemas.openxmlformats.org/officeDocument/2006/customXml" ds:itemID="{84E9F30A-6E67-4ACA-8235-7F2E51ED4B2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A08D1F-28F9-417C-8F04-FAD83E22AC95}">
  <ds:schemaRefs>
    <ds:schemaRef ds:uri="http://schemas.microsoft.com/office/2006/metadata/properties"/>
    <ds:schemaRef ds:uri="http://schemas.microsoft.com/office/infopath/2007/PartnerControls"/>
    <ds:schemaRef ds:uri="f2a46d34-31ee-43fb-b156-82bed98ce464"/>
    <ds:schemaRef ds:uri="e9de7944-dd7d-4cec-bbfa-08e77e35b29f"/>
  </ds:schemaRefs>
</ds:datastoreItem>
</file>

<file path=docMetadata/LabelInfo.xml><?xml version="1.0" encoding="utf-8"?>
<clbl:labelList xmlns:clbl="http://schemas.microsoft.com/office/2020/mipLabelMetadata">
  <clbl:label id="{d176fefe-83de-4b32-859d-542d6c2f6125}" enabled="1" method="Standard" siteId="{64e5ad32-cb04-44df-8896-bed5d77924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202607v2</vt:lpstr>
      <vt:lpstr>特休日數</vt:lpstr>
      <vt:lpstr>長假申請彙整</vt:lpstr>
      <vt:lpstr>國定假日</vt:lpstr>
      <vt:lpstr>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Hu, Kenny</dc:creator>
  <cp:keywords/>
  <dc:description/>
  <cp:lastModifiedBy>Tsai, Will</cp:lastModifiedBy>
  <cp:revision/>
  <dcterms:created xsi:type="dcterms:W3CDTF">2022-11-16T06:27:58Z</dcterms:created>
  <dcterms:modified xsi:type="dcterms:W3CDTF">2026-06-26T10:37:46Z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0x010100D8EE224BA4573F47A1CAABCE7EF61D75</vt:lpwstr>
  </property>
  <property fmtid="{D5CDD505-2E9C-101B-9397-08002B2CF9AE}" pid="3" name="_dlc_DocIdItemGuid">
    <vt:lpwstr>e49119b0-cca0-4c63-888c-600e84783a07</vt:lpwstr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