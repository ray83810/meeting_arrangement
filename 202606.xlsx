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6月/"/>
    </mc:Choice>
  </mc:AlternateContent>
  <xr:revisionPtr revIDLastSave="421" documentId="8_{D573B2F3-F30A-48F4-9C21-358BF15B7CBA}" xr6:coauthVersionLast="47" xr6:coauthVersionMax="47" xr10:uidLastSave="{BB287E51-ED3C-44E1-8E25-462B1D55300E}"/>
  <bookViews>
    <workbookView xWindow="-28920" yWindow="-120" windowWidth="29040" windowHeight="15720" tabRatio="523" xr2:uid="{F655A811-1ABD-4677-893F-B2248E2E15B4}"/>
  </bookViews>
  <sheets>
    <sheet name="202606v2 " sheetId="55" r:id="rId1"/>
    <sheet name="特休日數" sheetId="26" r:id="rId2"/>
    <sheet name="長假申請彙整" sheetId="56" r:id="rId3"/>
    <sheet name="國定假日" sheetId="38" r:id="rId4"/>
    <sheet name="List" sheetId="6" r:id="rId5"/>
  </sheets>
  <definedNames>
    <definedName name="_xlnm._FilterDatabase" localSheetId="1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5" l="1"/>
  <c r="K2" i="55" s="1"/>
  <c r="K1" i="55" s="1"/>
  <c r="C2" i="55"/>
  <c r="B2" i="55" s="1"/>
  <c r="K3" i="55" l="1"/>
  <c r="K17" i="55"/>
  <c r="K18" i="55"/>
  <c r="K5" i="55"/>
  <c r="K11" i="55"/>
  <c r="L2" i="55"/>
  <c r="K9" i="55"/>
  <c r="K15" i="55"/>
  <c r="K13" i="55"/>
  <c r="J1" i="55"/>
  <c r="J17" i="55" l="1"/>
  <c r="J18" i="55"/>
  <c r="J7" i="55"/>
  <c r="J13" i="55"/>
  <c r="J9" i="55"/>
  <c r="J15" i="55"/>
  <c r="J11" i="55"/>
  <c r="J5" i="55"/>
  <c r="L1" i="55"/>
  <c r="M2" i="55"/>
  <c r="L17" i="55" l="1"/>
  <c r="L18" i="55"/>
  <c r="L7" i="55"/>
  <c r="L9" i="55"/>
  <c r="L11" i="55"/>
  <c r="M1" i="55"/>
  <c r="N2" i="55"/>
  <c r="M17" i="55" l="1"/>
  <c r="M18" i="55"/>
  <c r="M7" i="55"/>
  <c r="M11" i="55"/>
  <c r="M13" i="55"/>
  <c r="M9" i="55"/>
  <c r="M15" i="55"/>
  <c r="M3" i="55"/>
  <c r="M5" i="55"/>
  <c r="O2" i="55"/>
  <c r="N1" i="55"/>
  <c r="N17" i="55" s="1"/>
  <c r="N11" i="55" l="1"/>
  <c r="N7" i="55"/>
  <c r="P2" i="55"/>
  <c r="O1" i="55"/>
  <c r="O9" i="55" l="1"/>
  <c r="O18" i="55"/>
  <c r="O11" i="55"/>
  <c r="O7" i="55"/>
  <c r="O15" i="55"/>
  <c r="O3" i="55"/>
  <c r="O5" i="55"/>
  <c r="O13" i="55"/>
  <c r="Q2" i="55"/>
  <c r="P1" i="55"/>
  <c r="P17" i="55" l="1"/>
  <c r="P18" i="55"/>
  <c r="P11" i="55"/>
  <c r="P3" i="55"/>
  <c r="P13" i="55"/>
  <c r="P5" i="55"/>
  <c r="P7" i="55"/>
  <c r="R2" i="55"/>
  <c r="Q1" i="55"/>
  <c r="Q17" i="55" l="1"/>
  <c r="Q18" i="55"/>
  <c r="Q11" i="55"/>
  <c r="Q5" i="55"/>
  <c r="Q15" i="55"/>
  <c r="Q9" i="55"/>
  <c r="Q3" i="55"/>
  <c r="Q7" i="55"/>
  <c r="Q13" i="55"/>
  <c r="R1" i="55"/>
  <c r="S2" i="55"/>
  <c r="R13" i="55" l="1"/>
  <c r="R18" i="55"/>
  <c r="T2" i="55"/>
  <c r="S1" i="55"/>
  <c r="R15" i="55"/>
  <c r="R5" i="55"/>
  <c r="R3" i="55"/>
  <c r="R11" i="55"/>
  <c r="R7" i="55"/>
  <c r="S17" i="55" l="1"/>
  <c r="S18" i="55"/>
  <c r="S5" i="55"/>
  <c r="S9" i="55"/>
  <c r="S15" i="55"/>
  <c r="S3" i="55"/>
  <c r="S11" i="55"/>
  <c r="S13" i="55"/>
  <c r="S7" i="55"/>
  <c r="U2" i="55"/>
  <c r="T1" i="55"/>
  <c r="T18" i="55" l="1"/>
  <c r="T17" i="55"/>
  <c r="T5" i="55"/>
  <c r="T15" i="55"/>
  <c r="T9" i="55"/>
  <c r="T3" i="55"/>
  <c r="T11" i="55"/>
  <c r="T7" i="55"/>
  <c r="T13" i="55"/>
  <c r="U1" i="55"/>
  <c r="V2" i="55"/>
  <c r="U18" i="55" l="1"/>
  <c r="U17" i="55"/>
  <c r="V1" i="55"/>
  <c r="V18" i="55" s="1"/>
  <c r="W2" i="55"/>
  <c r="U15" i="55"/>
  <c r="U9" i="55"/>
  <c r="U3" i="55"/>
  <c r="U11" i="55"/>
  <c r="U5" i="55"/>
  <c r="U13" i="55"/>
  <c r="U7" i="55"/>
  <c r="X2" i="55" l="1"/>
  <c r="W1" i="55"/>
  <c r="V15" i="55"/>
  <c r="V9" i="55"/>
  <c r="V3" i="55"/>
  <c r="V5" i="55"/>
  <c r="V7" i="55"/>
  <c r="V11" i="55"/>
  <c r="V13" i="55"/>
  <c r="W9" i="55" l="1"/>
  <c r="W17" i="55"/>
  <c r="W18" i="55"/>
  <c r="W3" i="55"/>
  <c r="W15" i="55"/>
  <c r="W11" i="55"/>
  <c r="W13" i="55"/>
  <c r="X1" i="55"/>
  <c r="Y2" i="55"/>
  <c r="X9" i="55" l="1"/>
  <c r="X18" i="55"/>
  <c r="X17" i="55"/>
  <c r="Z2" i="55"/>
  <c r="Y1" i="55"/>
  <c r="X13" i="55"/>
  <c r="X11" i="55"/>
  <c r="X5" i="55"/>
  <c r="X7" i="55"/>
  <c r="X15" i="55"/>
  <c r="Y17" i="55" l="1"/>
  <c r="Y18" i="55"/>
  <c r="Y13" i="55"/>
  <c r="Y7" i="55"/>
  <c r="Y5" i="55"/>
  <c r="Y15" i="55"/>
  <c r="AA2" i="55"/>
  <c r="Z1" i="55"/>
  <c r="Z9" i="55" l="1"/>
  <c r="Z17" i="55"/>
  <c r="Z18" i="55"/>
  <c r="Z13" i="55"/>
  <c r="Z11" i="55"/>
  <c r="Z3" i="55"/>
  <c r="Z5" i="55"/>
  <c r="Z7" i="55"/>
  <c r="Z15" i="55"/>
  <c r="AA1" i="55"/>
  <c r="AB2" i="55"/>
  <c r="AA17" i="55" l="1"/>
  <c r="AA18" i="55"/>
  <c r="AA9" i="55"/>
  <c r="AC2" i="55"/>
  <c r="AB1" i="55"/>
  <c r="AA13" i="55"/>
  <c r="AA7" i="55"/>
  <c r="AA3" i="55"/>
  <c r="AA15" i="55"/>
  <c r="AA5" i="55"/>
  <c r="AA11" i="55"/>
  <c r="AB17" i="55" l="1"/>
  <c r="AB18" i="55"/>
  <c r="AB13" i="55"/>
  <c r="AB7" i="55"/>
  <c r="AB3" i="55"/>
  <c r="AB5" i="55"/>
  <c r="AB15" i="55"/>
  <c r="AC1" i="55"/>
  <c r="AD2" i="55"/>
  <c r="AC17" i="55" l="1"/>
  <c r="AC18" i="55"/>
  <c r="AC9" i="55"/>
  <c r="AD1" i="55"/>
  <c r="AE2" i="55"/>
  <c r="AC7" i="55"/>
  <c r="AC5" i="55"/>
  <c r="AC13" i="55"/>
  <c r="AC11" i="55"/>
  <c r="AC15" i="55"/>
  <c r="AC3" i="55"/>
  <c r="AD17" i="55" l="1"/>
  <c r="AD18" i="55"/>
  <c r="AE1" i="55"/>
  <c r="AF2" i="55"/>
  <c r="AD7" i="55"/>
  <c r="AD11" i="55"/>
  <c r="AD5" i="55"/>
  <c r="AD13" i="55"/>
  <c r="AD15" i="55"/>
  <c r="AE17" i="55" l="1"/>
  <c r="AE18" i="55"/>
  <c r="AF1" i="55"/>
  <c r="AG2" i="55"/>
  <c r="AE11" i="55"/>
  <c r="AE5" i="55"/>
  <c r="AE7" i="55"/>
  <c r="AE9" i="55"/>
  <c r="AE15" i="55"/>
  <c r="AE3" i="55"/>
  <c r="AF11" i="55" l="1"/>
  <c r="AF17" i="55"/>
  <c r="AF18" i="55"/>
  <c r="AF7" i="55"/>
  <c r="AF15" i="55"/>
  <c r="AF3" i="55"/>
  <c r="AF5" i="55"/>
  <c r="AG1" i="55"/>
  <c r="AH2" i="55"/>
  <c r="AG17" i="55" l="1"/>
  <c r="AG18" i="55"/>
  <c r="AG11" i="55"/>
  <c r="AG7" i="55"/>
  <c r="AG9" i="55"/>
  <c r="AG3" i="55"/>
  <c r="AG13" i="55"/>
  <c r="AG15" i="55"/>
  <c r="AG5" i="55"/>
  <c r="AI2" i="55"/>
  <c r="AH1" i="55"/>
  <c r="AH17" i="55" l="1"/>
  <c r="AH18" i="55"/>
  <c r="AJ2" i="55"/>
  <c r="AI1" i="55"/>
  <c r="AI17" i="55" s="1"/>
  <c r="AH11" i="55"/>
  <c r="AH15" i="55"/>
  <c r="AH5" i="55"/>
  <c r="AH13" i="55"/>
  <c r="AH7" i="55"/>
  <c r="AH9" i="55"/>
  <c r="AH3" i="55"/>
  <c r="AI11" i="55" l="1"/>
  <c r="AI5" i="55"/>
  <c r="AI15" i="55"/>
  <c r="AI13" i="55"/>
  <c r="AI7" i="55"/>
  <c r="AI9" i="55"/>
  <c r="AI3" i="55"/>
  <c r="AK2" i="55"/>
  <c r="AJ1" i="55"/>
  <c r="AJ17" i="55" l="1"/>
  <c r="AJ18" i="55"/>
  <c r="AL2" i="55"/>
  <c r="AK1" i="55"/>
  <c r="AJ5" i="55"/>
  <c r="AJ15" i="55"/>
  <c r="AJ13" i="55"/>
  <c r="AJ7" i="55"/>
  <c r="AJ9" i="55"/>
  <c r="AJ3" i="55"/>
  <c r="AJ11" i="55"/>
  <c r="AK18" i="55" l="1"/>
  <c r="AK17" i="55"/>
  <c r="AK5" i="55"/>
  <c r="AK15" i="55"/>
  <c r="AK9" i="55"/>
  <c r="AK11" i="55"/>
  <c r="AL1" i="55"/>
  <c r="AM2" i="55"/>
  <c r="AM1" i="55" s="1"/>
  <c r="AM18" i="55" l="1"/>
  <c r="AM17" i="55"/>
  <c r="AL18" i="55"/>
  <c r="AL17" i="55"/>
  <c r="AL15" i="55"/>
  <c r="AL9" i="55"/>
  <c r="AL3" i="55"/>
  <c r="AL11" i="55"/>
  <c r="AL5" i="55"/>
  <c r="AL13" i="55"/>
  <c r="AL7" i="55"/>
  <c r="AM3" i="55"/>
  <c r="AM7" i="55"/>
  <c r="AM13" i="55"/>
  <c r="AM11" i="55"/>
  <c r="F17" i="55" l="1" a="1"/>
  <c r="F17" i="55" s="1"/>
  <c r="I17" i="55" a="1"/>
  <c r="I17" i="55" s="1"/>
  <c r="H17" i="55"/>
  <c r="E17" i="55" a="1"/>
  <c r="E17" i="55" s="1"/>
  <c r="G17" i="55"/>
  <c r="F18" i="55" a="1"/>
  <c r="F18" i="55" s="1"/>
  <c r="I18" i="55" a="1"/>
  <c r="I18" i="55" s="1"/>
  <c r="G18" i="55"/>
  <c r="E18" i="55" a="1"/>
  <c r="E18" i="55" s="1"/>
  <c r="H18" i="55"/>
  <c r="H3" i="55"/>
  <c r="G3" i="55"/>
  <c r="I3" i="55" a="1"/>
  <c r="I3" i="55" s="1"/>
  <c r="F3" i="55" a="1"/>
  <c r="F3" i="55" s="1"/>
  <c r="E3" i="55" a="1"/>
  <c r="E3" i="55" s="1"/>
  <c r="H13" i="55"/>
  <c r="F13" i="55" a="1"/>
  <c r="F13" i="55" s="1"/>
  <c r="I13" i="55" a="1"/>
  <c r="I13" i="55" s="1"/>
  <c r="G13" i="55"/>
  <c r="E13" i="55" a="1"/>
  <c r="E13" i="55" s="1"/>
  <c r="I5" i="55" a="1"/>
  <c r="I5" i="55" s="1"/>
  <c r="F5" i="55" a="1"/>
  <c r="F5" i="55" s="1"/>
  <c r="G5" i="55"/>
  <c r="E5" i="55" a="1"/>
  <c r="E5" i="55" s="1"/>
  <c r="H5" i="55"/>
  <c r="F9" i="55" a="1"/>
  <c r="F9" i="55" s="1"/>
  <c r="I9" i="55" a="1"/>
  <c r="I9" i="55" s="1"/>
  <c r="H9" i="55"/>
  <c r="E9" i="55" a="1"/>
  <c r="E9" i="55" s="1"/>
  <c r="G9" i="55"/>
  <c r="H7" i="55"/>
  <c r="I7" i="55" a="1"/>
  <c r="I7" i="55" s="1"/>
  <c r="E7" i="55" a="1"/>
  <c r="E7" i="55" s="1"/>
  <c r="F7" i="55" a="1"/>
  <c r="F7" i="55" s="1"/>
  <c r="G7" i="55"/>
  <c r="G11" i="55"/>
  <c r="H11" i="55"/>
  <c r="I11" i="55" a="1"/>
  <c r="I11" i="55" s="1"/>
  <c r="F11" i="55" a="1"/>
  <c r="F11" i="55" s="1"/>
  <c r="E11" i="55" a="1"/>
  <c r="E11" i="55" s="1"/>
  <c r="H15" i="55"/>
  <c r="I15" i="55" a="1"/>
  <c r="I15" i="55" s="1"/>
  <c r="E15" i="55" a="1"/>
  <c r="E15" i="55" s="1"/>
  <c r="F15" i="55" a="1"/>
  <c r="F15" i="55" s="1"/>
  <c r="G15" i="55"/>
  <c r="Q10" i="26" l="1"/>
  <c r="T10" i="26" s="1"/>
  <c r="D10" i="26"/>
  <c r="S10" i="26" l="1"/>
  <c r="R10" i="26"/>
  <c r="Q3" i="26" l="1"/>
  <c r="D3" i="26"/>
  <c r="T3" i="26" l="1"/>
  <c r="R3" i="26" s="1"/>
  <c r="S3" i="26" l="1"/>
  <c r="Q8" i="26" l="1"/>
  <c r="Q6" i="26"/>
  <c r="D8" i="26"/>
  <c r="D2" i="26"/>
  <c r="D4" i="26"/>
  <c r="D5" i="26"/>
  <c r="D7" i="26"/>
  <c r="D9" i="26"/>
  <c r="D6" i="26"/>
  <c r="T6" i="26" l="1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Lin, Sherry</author>
  </authors>
  <commentList>
    <comment ref="K7" authorId="0" shapeId="0" xr:uid="{E468C09E-BDC4-4829-82A1-12A620F50328}">
      <text>
        <r>
          <rPr>
            <b/>
            <sz val="9"/>
            <color indexed="81"/>
            <rFont val="Tahoma"/>
            <family val="2"/>
          </rPr>
          <t>15:00 OFF Queue</t>
        </r>
      </text>
    </comment>
    <comment ref="O17" authorId="0" shapeId="0" xr:uid="{80AC10C1-1863-4A50-952F-DA6AD92601F9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  <comment ref="V17" authorId="0" shapeId="0" xr:uid="{7BB29322-83B4-4950-BA62-DD43D9FF55CD}">
      <text>
        <r>
          <rPr>
            <b/>
            <sz val="9"/>
            <color indexed="81"/>
            <rFont val="Tahoma"/>
            <family val="2"/>
          </rPr>
          <t>12:00 Off Queue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<sst xmlns="http://schemas.openxmlformats.org/spreadsheetml/2006/main" count="581" uniqueCount="119">
  <si>
    <t>June</t>
    <phoneticPr fontId="9" type="noConversion"/>
  </si>
  <si>
    <t>休假</t>
  </si>
  <si>
    <t>用餐</t>
    <phoneticPr fontId="9" type="noConversion"/>
  </si>
  <si>
    <t>工作日</t>
  </si>
  <si>
    <t>OFF</t>
  </si>
  <si>
    <t>PTO</t>
  </si>
  <si>
    <t>PTO-AL</t>
    <phoneticPr fontId="9" type="noConversion"/>
  </si>
  <si>
    <t>LOA</t>
    <phoneticPr fontId="9" type="noConversion"/>
  </si>
  <si>
    <t>Amber Wang</t>
  </si>
  <si>
    <t>08:00-17:00</t>
    <phoneticPr fontId="9" type="noConversion"/>
  </si>
  <si>
    <t>三四</t>
  </si>
  <si>
    <t>12:00
11:00</t>
    <phoneticPr fontId="9" type="noConversion"/>
  </si>
  <si>
    <t>OFF</t>
    <phoneticPr fontId="9" type="noConversion"/>
  </si>
  <si>
    <t>08:00</t>
    <phoneticPr fontId="9" type="noConversion"/>
  </si>
  <si>
    <t>PTO</t>
    <phoneticPr fontId="9" type="noConversion"/>
  </si>
  <si>
    <t>OT</t>
  </si>
  <si>
    <t>E</t>
    <phoneticPr fontId="9" type="noConversion"/>
  </si>
  <si>
    <t>A</t>
    <phoneticPr fontId="9" type="noConversion"/>
  </si>
  <si>
    <t>Jacky Lee</t>
  </si>
  <si>
    <t>五六</t>
  </si>
  <si>
    <t>D</t>
    <phoneticPr fontId="9" type="noConversion"/>
  </si>
  <si>
    <t>B</t>
    <phoneticPr fontId="9" type="noConversion"/>
  </si>
  <si>
    <t>Evan Liu</t>
  </si>
  <si>
    <t>11:00-20:00</t>
    <phoneticPr fontId="9" type="noConversion"/>
  </si>
  <si>
    <t>15:00
16:00</t>
    <phoneticPr fontId="9" type="noConversion"/>
  </si>
  <si>
    <t>PTO-Half</t>
  </si>
  <si>
    <t>Jian Kai Ding</t>
  </si>
  <si>
    <t>11:00</t>
    <phoneticPr fontId="9" type="noConversion"/>
  </si>
  <si>
    <t>Howard Chen</t>
  </si>
  <si>
    <t>15:00 - 00:00</t>
  </si>
  <si>
    <t>日一</t>
    <phoneticPr fontId="9" type="noConversion"/>
  </si>
  <si>
    <t>18:00
19:00
18:30</t>
    <phoneticPr fontId="9" type="noConversion"/>
  </si>
  <si>
    <t>Alex Chen</t>
  </si>
  <si>
    <t>15:00</t>
    <phoneticPr fontId="9" type="noConversion"/>
  </si>
  <si>
    <t>Rex Liao</t>
  </si>
  <si>
    <t>五六</t>
    <phoneticPr fontId="9" type="noConversion"/>
  </si>
  <si>
    <t>Sherry Lin</t>
  </si>
  <si>
    <t>12:00 - 21:00</t>
  </si>
  <si>
    <t>日一</t>
  </si>
  <si>
    <t>PTO-Half</t>
    <phoneticPr fontId="9" type="noConversion"/>
  </si>
  <si>
    <t>Molly Song</t>
  </si>
  <si>
    <t>六日</t>
  </si>
  <si>
    <t xml:space="preserve">English Name </t>
  </si>
  <si>
    <t>TTL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</si>
  <si>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</si>
  <si>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</si>
  <si>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</si>
  <si>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</si>
  <si>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</si>
  <si>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</si>
  <si>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</si>
  <si>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</si>
  <si>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</si>
  <si>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</si>
  <si>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</si>
  <si>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</si>
  <si>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已休</t>
    <phoneticPr fontId="9" type="noConversion"/>
  </si>
  <si>
    <t>未休</t>
    <phoneticPr fontId="2" type="noConversion"/>
  </si>
  <si>
    <t>法定特休天數</t>
    <phoneticPr fontId="9" type="noConversion"/>
  </si>
  <si>
    <t>亞勝假期</t>
    <phoneticPr fontId="9" type="noConversion"/>
  </si>
  <si>
    <t>*若對於個人的特休天數有疑問，請填寫「各部門問題/建議回報表」諮詢HR。</t>
    <phoneticPr fontId="9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</si>
  <si>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Noto Sans TC Medium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
4.若同仁已於「班表相關申請表單」填寫公假申請表，該日期將以藍色標示。</t>
    </r>
  </si>
  <si>
    <r>
      <rPr>
        <sz val="14"/>
        <color theme="1"/>
        <rFont val="Microsoft JhengHei"/>
        <family val="2"/>
      </rPr>
      <t>更新</t>
    </r>
    <r>
      <rPr>
        <sz val="14"/>
        <color theme="1"/>
        <rFont val="Calibri"/>
        <family val="2"/>
      </rPr>
      <t>:05/20 12:50</t>
    </r>
  </si>
  <si>
    <t>2026年</t>
  </si>
  <si>
    <t>January</t>
  </si>
  <si>
    <t>Thu</t>
  </si>
  <si>
    <t>Fri</t>
  </si>
  <si>
    <t>Sat</t>
  </si>
  <si>
    <t>Sun</t>
  </si>
  <si>
    <t>Mon</t>
  </si>
  <si>
    <t>Tue</t>
  </si>
  <si>
    <t>Wed</t>
  </si>
  <si>
    <t>February</t>
  </si>
  <si>
    <t>March</t>
  </si>
  <si>
    <t>April</t>
  </si>
  <si>
    <t>June</t>
  </si>
  <si>
    <t>July</t>
  </si>
  <si>
    <t>August</t>
  </si>
  <si>
    <t>September</t>
  </si>
  <si>
    <t>健檢到9/30喔~</t>
  </si>
  <si>
    <t>October</t>
  </si>
  <si>
    <t>November</t>
  </si>
  <si>
    <t>December</t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</si>
  <si>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</si>
  <si>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</si>
  <si>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</si>
  <si>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</si>
  <si>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</si>
  <si>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</si>
  <si>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</si>
  <si>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</si>
  <si>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</si>
  <si>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</si>
  <si>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</si>
  <si>
    <t>List</t>
    <phoneticPr fontId="9" type="noConversion"/>
  </si>
  <si>
    <t>January</t>
    <phoneticPr fontId="9" type="noConversion"/>
  </si>
  <si>
    <t>Sun</t>
    <phoneticPr fontId="9" type="noConversion"/>
  </si>
  <si>
    <t>Alex Chen</t>
    <phoneticPr fontId="9" type="noConversion"/>
  </si>
  <si>
    <t>一二</t>
    <phoneticPr fontId="9" type="noConversion"/>
  </si>
  <si>
    <t>Amber Wang</t>
    <phoneticPr fontId="9" type="noConversion"/>
  </si>
  <si>
    <t>March</t>
    <phoneticPr fontId="0" type="noConversion"/>
  </si>
  <si>
    <t>二三</t>
    <phoneticPr fontId="9" type="noConversion"/>
  </si>
  <si>
    <t>Evan Liu</t>
    <phoneticPr fontId="9" type="noConversion"/>
  </si>
  <si>
    <t>三四</t>
    <phoneticPr fontId="9" type="noConversion"/>
  </si>
  <si>
    <t>Howard Chen</t>
    <phoneticPr fontId="9" type="noConversion"/>
  </si>
  <si>
    <t>May</t>
    <phoneticPr fontId="9" type="noConversion"/>
  </si>
  <si>
    <t>四五</t>
    <phoneticPr fontId="9" type="noConversion"/>
  </si>
  <si>
    <t>Jacky Lee</t>
    <phoneticPr fontId="9" type="noConversion"/>
  </si>
  <si>
    <t>Half-PTO</t>
    <phoneticPr fontId="9" type="noConversion"/>
  </si>
  <si>
    <t>Jian Kai Ding</t>
    <phoneticPr fontId="9" type="noConversion"/>
  </si>
  <si>
    <t>六日</t>
    <phoneticPr fontId="9" type="noConversion"/>
  </si>
  <si>
    <t>Rex Liao</t>
    <phoneticPr fontId="9" type="noConversion"/>
  </si>
  <si>
    <t>OT17-18</t>
    <phoneticPr fontId="9" type="noConversion"/>
  </si>
  <si>
    <t>August</t>
    <phoneticPr fontId="9" type="noConversion"/>
  </si>
  <si>
    <t>Sherry Lin</t>
    <phoneticPr fontId="9" type="noConversion"/>
  </si>
  <si>
    <t>OT14-15</t>
    <phoneticPr fontId="9" type="noConversion"/>
  </si>
  <si>
    <t>September</t>
    <phoneticPr fontId="9" type="noConversion"/>
  </si>
  <si>
    <t>Molly Song</t>
    <phoneticPr fontId="9" type="noConversion"/>
  </si>
  <si>
    <t>October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</si>
</sst>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"/>
    <numFmt numFmtId="166" formatCode="m&quot;月&quot;d&quot;日&quot;"/>
  </numFmts>
  <fonts count="41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b/>
      <sz val="16"/>
      <color theme="1"/>
      <name val="Noto Sans TC Medium"/>
      <family val="2"/>
      <charset val="136"/>
    </font>
    <font>
      <sz val="11"/>
      <color theme="1"/>
      <name val="Microsoft JhengHei"/>
      <family val="2"/>
      <charset val="136"/>
    </font>
    <font>
      <b/>
      <sz val="12"/>
      <color rgb="FF000000"/>
      <name val="Noto Sans TC Medium"/>
      <family val="2"/>
      <charset val="136"/>
    </font>
    <font>
      <sz val="9"/>
      <color rgb="FF00000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4"/>
      <color theme="1"/>
      <name val="Microsoft JhengHei"/>
      <family val="2"/>
    </font>
    <font>
      <sz val="14"/>
      <color theme="1"/>
      <name val="Calibri"/>
      <family val="2"/>
    </font>
    <font>
      <b/>
      <sz val="9"/>
      <color rgb="FF000000"/>
      <name val="Noto Sans TC Medium"/>
      <family val="2"/>
      <charset val="136"/>
    </font>
    <font>
      <b/>
      <sz val="16"/>
      <color theme="1"/>
      <name val="Noto Sans TC Medium"/>
      <family val="2"/>
    </font>
    <font>
      <b/>
      <sz val="8"/>
      <color rgb="FFFF0000"/>
      <name val="Noto Sans TC Medium"/>
      <family val="2"/>
      <charset val="136"/>
    </font>
    <font>
      <sz val="18"/>
      <color theme="1"/>
      <name val="Noto Sans TC Medium"/>
      <family val="2"/>
      <charset val="136"/>
    </font>
    <font>
      <b/>
      <sz val="9"/>
      <color indexed="81"/>
      <name val="Tahoma"/>
      <family val="2"/>
    </font>
    <font>
      <sz val="6"/>
      <color rgb="FFC00000"/>
      <name val="Noto Sans TC Medium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10" fillId="0" borderId="0"/>
    <xf numFmtId="0" fontId="8" fillId="0" borderId="0"/>
    <xf numFmtId="0" fontId="7" fillId="0" borderId="0"/>
    <xf numFmtId="0" fontId="1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8">
    <xf numFmtId="0" fontId="0" fillId="0" borderId="0" xfId="0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16" fillId="0" borderId="0" xfId="0" applyFo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1" applyFont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5" fontId="16" fillId="0" borderId="0" xfId="0" applyNumberFormat="1" applyFont="1">
      <alignment vertical="center"/>
    </xf>
    <xf numFmtId="37" fontId="18" fillId="5" borderId="1" xfId="0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6" fontId="18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49" fontId="18" fillId="2" borderId="1" xfId="1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49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49" fontId="31" fillId="1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37" fontId="37" fillId="19" borderId="1" xfId="0" applyNumberFormat="1" applyFont="1" applyFill="1" applyBorder="1" applyAlignment="1">
      <alignment horizontal="center" vertical="center"/>
    </xf>
    <xf numFmtId="37" fontId="37" fillId="5" borderId="1" xfId="0" applyNumberFormat="1" applyFont="1" applyFill="1" applyBorder="1" applyAlignment="1">
      <alignment horizontal="center" vertical="center"/>
    </xf>
    <xf numFmtId="164" fontId="37" fillId="19" borderId="1" xfId="0" applyNumberFormat="1" applyFont="1" applyFill="1" applyBorder="1" applyAlignment="1">
      <alignment horizontal="center" vertical="center"/>
    </xf>
    <xf numFmtId="164" fontId="37" fillId="5" borderId="1" xfId="0" applyNumberFormat="1" applyFont="1" applyFill="1" applyBorder="1" applyAlignment="1">
      <alignment horizontal="center" vertical="center"/>
    </xf>
    <xf numFmtId="37" fontId="37" fillId="14" borderId="1" xfId="0" applyNumberFormat="1" applyFont="1" applyFill="1" applyBorder="1" applyAlignment="1">
      <alignment horizontal="center" vertical="center"/>
    </xf>
    <xf numFmtId="164" fontId="37" fillId="14" borderId="1" xfId="0" applyNumberFormat="1" applyFont="1" applyFill="1" applyBorder="1" applyAlignment="1">
      <alignment horizontal="center" vertical="center"/>
    </xf>
    <xf numFmtId="37" fontId="37" fillId="7" borderId="1" xfId="0" applyNumberFormat="1" applyFont="1" applyFill="1" applyBorder="1" applyAlignment="1">
      <alignment horizontal="center" vertical="center"/>
    </xf>
    <xf numFmtId="164" fontId="37" fillId="7" borderId="1" xfId="0" applyNumberFormat="1" applyFont="1" applyFill="1" applyBorder="1" applyAlignment="1">
      <alignment horizontal="center" vertical="center"/>
    </xf>
    <xf numFmtId="37" fontId="37" fillId="17" borderId="1" xfId="0" applyNumberFormat="1" applyFont="1" applyFill="1" applyBorder="1" applyAlignment="1">
      <alignment horizontal="center" vertical="center"/>
    </xf>
    <xf numFmtId="164" fontId="37" fillId="17" borderId="1" xfId="0" applyNumberFormat="1" applyFont="1" applyFill="1" applyBorder="1" applyAlignment="1">
      <alignment horizontal="center" vertical="center"/>
    </xf>
    <xf numFmtId="0" fontId="16" fillId="20" borderId="0" xfId="0" applyFont="1" applyFill="1">
      <alignment vertical="center"/>
    </xf>
    <xf numFmtId="0" fontId="0" fillId="20" borderId="0" xfId="0" applyFill="1">
      <alignment vertical="center"/>
    </xf>
    <xf numFmtId="164" fontId="20" fillId="5" borderId="1" xfId="0" applyNumberFormat="1" applyFont="1" applyFill="1" applyBorder="1" applyAlignment="1">
      <alignment horizontal="center" vertical="center"/>
    </xf>
    <xf numFmtId="37" fontId="20" fillId="5" borderId="1" xfId="0" applyNumberFormat="1" applyFont="1" applyFill="1" applyBorder="1" applyAlignment="1">
      <alignment horizontal="center" vertical="center"/>
    </xf>
    <xf numFmtId="37" fontId="20" fillId="14" borderId="1" xfId="0" applyNumberFormat="1" applyFont="1" applyFill="1" applyBorder="1" applyAlignment="1">
      <alignment horizontal="center" vertical="center"/>
    </xf>
    <xf numFmtId="164" fontId="20" fillId="14" borderId="1" xfId="0" applyNumberFormat="1" applyFont="1" applyFill="1" applyBorder="1" applyAlignment="1">
      <alignment horizontal="center" vertical="center"/>
    </xf>
    <xf numFmtId="37" fontId="20" fillId="7" borderId="1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0" fontId="16" fillId="15" borderId="0" xfId="0" applyFont="1" applyFill="1">
      <alignment vertical="center"/>
    </xf>
    <xf numFmtId="0" fontId="28" fillId="0" borderId="5" xfId="0" applyFont="1" applyBorder="1" applyAlignment="1">
      <alignment horizontal="left" vertical="center" wrapText="1"/>
    </xf>
    <xf numFmtId="37" fontId="20" fillId="17" borderId="1" xfId="0" applyNumberFormat="1" applyFont="1" applyFill="1" applyBorder="1" applyAlignment="1">
      <alignment horizontal="center" vertical="center"/>
    </xf>
    <xf numFmtId="164" fontId="20" fillId="17" borderId="1" xfId="0" applyNumberFormat="1" applyFont="1" applyFill="1" applyBorder="1" applyAlignment="1">
      <alignment horizontal="center" vertical="center"/>
    </xf>
    <xf numFmtId="0" fontId="28" fillId="16" borderId="0" xfId="0" applyFont="1" applyFill="1" applyAlignment="1">
      <alignment vertical="center" wrapText="1"/>
    </xf>
    <xf numFmtId="37" fontId="20" fillId="19" borderId="1" xfId="0" applyNumberFormat="1" applyFont="1" applyFill="1" applyBorder="1" applyAlignment="1">
      <alignment horizontal="center" vertical="center"/>
    </xf>
    <xf numFmtId="164" fontId="20" fillId="19" borderId="1" xfId="0" applyNumberFormat="1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20" fontId="21" fillId="21" borderId="1" xfId="0" applyNumberFormat="1" applyFont="1" applyFill="1" applyBorder="1" applyAlignment="1">
      <alignment horizontal="center" vertical="center" wrapText="1"/>
    </xf>
    <xf numFmtId="49" fontId="31" fillId="22" borderId="1" xfId="0" applyNumberFormat="1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18" fillId="23" borderId="1" xfId="1" applyFont="1" applyFill="1" applyBorder="1" applyAlignment="1">
      <alignment horizontal="center" vertical="center" wrapText="1"/>
    </xf>
    <xf numFmtId="49" fontId="40" fillId="16" borderId="1" xfId="1" applyNumberFormat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49" fontId="40" fillId="24" borderId="1" xfId="1" applyNumberFormat="1" applyFont="1" applyFill="1" applyBorder="1" applyAlignment="1">
      <alignment horizontal="center" vertical="center" wrapText="1"/>
    </xf>
    <xf numFmtId="37" fontId="37" fillId="25" borderId="1" xfId="0" applyNumberFormat="1" applyFont="1" applyFill="1" applyBorder="1" applyAlignment="1">
      <alignment horizontal="center" vertical="center"/>
    </xf>
    <xf numFmtId="37" fontId="20" fillId="25" borderId="1" xfId="0" applyNumberFormat="1" applyFont="1" applyFill="1" applyBorder="1" applyAlignment="1">
      <alignment horizontal="center" vertical="center"/>
    </xf>
    <xf numFmtId="164" fontId="37" fillId="25" borderId="1" xfId="0" applyNumberFormat="1" applyFont="1" applyFill="1" applyBorder="1" applyAlignment="1">
      <alignment horizontal="center" vertical="center"/>
    </xf>
    <xf numFmtId="164" fontId="20" fillId="25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/>
    </xf>
    <xf numFmtId="0" fontId="31" fillId="10" borderId="6" xfId="0" applyFont="1" applyFill="1" applyBorder="1" applyAlignment="1">
      <alignment horizontal="center" vertical="center"/>
    </xf>
    <xf numFmtId="0" fontId="31" fillId="10" borderId="7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2" fillId="10" borderId="7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20" fontId="22" fillId="8" borderId="6" xfId="0" applyNumberFormat="1" applyFont="1" applyFill="1" applyBorder="1" applyAlignment="1">
      <alignment horizontal="center" vertical="center" wrapText="1"/>
    </xf>
    <xf numFmtId="20" fontId="22" fillId="8" borderId="8" xfId="0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20" fontId="22" fillId="11" borderId="6" xfId="0" applyNumberFormat="1" applyFont="1" applyFill="1" applyBorder="1" applyAlignment="1">
      <alignment horizontal="center" vertical="center" wrapText="1"/>
    </xf>
    <xf numFmtId="20" fontId="22" fillId="11" borderId="8" xfId="0" applyNumberFormat="1" applyFont="1" applyFill="1" applyBorder="1" applyAlignment="1">
      <alignment horizontal="center" vertical="center" wrapText="1"/>
    </xf>
    <xf numFmtId="20" fontId="22" fillId="11" borderId="7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38" fillId="20" borderId="0" xfId="0" applyFont="1" applyFill="1" applyAlignment="1">
      <alignment horizontal="left" vertical="top"/>
    </xf>
    <xf numFmtId="0" fontId="32" fillId="18" borderId="0" xfId="0" applyFont="1" applyFill="1" applyAlignment="1">
      <alignment horizontal="left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/>
    </xf>
  </cellXfs>
  <cellStyles count="15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2 2 2 2 2 2 2" xfId="14" xr:uid="{A3936198-8CCF-4D3F-8C54-82AB2980203A}"/>
    <cellStyle name="Normal 2 2 2 2 2 3" xfId="13" xr:uid="{9D143DA9-A5CE-430B-81D9-85C1644A1D40}"/>
    <cellStyle name="Normal 2 2 2 2 3" xfId="12" xr:uid="{C880EEB9-CBA1-42ED-9B6C-14AA2D1F3A09}"/>
    <cellStyle name="Normal 2 2 2 3" xfId="11" xr:uid="{258027CC-A794-4ABC-81D7-85277D6E3EE2}"/>
    <cellStyle name="Normal 2 2 3" xfId="10" xr:uid="{5EEB3DF6-53C6-45D6-AE8A-4B30344F9829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31">
    <dxf>
      <font>
        <b/>
        <i val="0"/>
        <color rgb="FFC00000"/>
      </font>
    </dxf>
    <dxf>
      <font>
        <color rgb="FFC00000"/>
      </font>
      <fill>
        <patternFill>
          <bgColor theme="8" tint="0.39994506668294322"/>
        </patternFill>
      </fill>
    </dxf>
    <dxf>
      <font>
        <color rgb="FFFF0000"/>
      </font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EAEAEA"/>
      <color rgb="FFFFF2CC"/>
      <color rgb="FFCCFFFF"/>
      <color rgb="FFFF99CC"/>
      <color rgb="FFCC99FF"/>
      <color rgb="FFE2EFDA"/>
      <color rgb="FFCAB1FA"/>
      <color rgb="FFAA72D4"/>
      <color rgb="FFB4C6E7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1027-22FB-472A-9BE8-3DDACDC1A731}">
  <dimension ref="A1:AM24"/>
  <sheetViews>
    <sheetView tabSelected="1" zoomScale="90" zoomScaleNormal="90" workbookViewId="0">
      <pane xSplit="7" ySplit="2" topLeftCell="H3" activePane="bottomRight" state="frozen"/>
      <selection pane="bottomRight" sqref="A1:A2"/>
      <selection pane="bottomLeft" activeCell="A3" sqref="A3"/>
      <selection pane="topRight" activeCell="H1" sqref="H1"/>
    </sheetView>
  </sheetViews>
  <sheetFormatPr defaultColWidth="9.140625" defaultRowHeight="16.5" customHeight="1"/>
  <cols>
    <col min="1" max="1" width="13.7109375" style="10" customWidth="1"/>
    <col min="2" max="2" width="12.140625" style="10" customWidth="1"/>
    <col min="3" max="3" width="5" style="10" customWidth="1"/>
    <col min="4" max="4" width="6.28515625" style="10" customWidth="1"/>
    <col min="5" max="5" width="5.7109375" style="10" customWidth="1"/>
    <col min="6" max="9" width="5.85546875" style="10" customWidth="1"/>
    <col min="10" max="39" width="7.140625" style="9" customWidth="1"/>
    <col min="40" max="16384" width="9.140625" style="9"/>
  </cols>
  <sheetData>
    <row r="1" spans="1:39" ht="16.5" customHeight="1">
      <c r="A1" s="92">
        <v>2026</v>
      </c>
      <c r="B1" s="26" t="s">
        <v>0</v>
      </c>
      <c r="C1" s="26" t="s">
        <v>1</v>
      </c>
      <c r="D1" s="93" t="s">
        <v>2</v>
      </c>
      <c r="E1" s="91" t="s">
        <v>3</v>
      </c>
      <c r="F1" s="91" t="s">
        <v>4</v>
      </c>
      <c r="G1" s="91" t="s">
        <v>5</v>
      </c>
      <c r="H1" s="91" t="s">
        <v>6</v>
      </c>
      <c r="I1" s="91" t="s">
        <v>7</v>
      </c>
      <c r="J1" s="19" t="str">
        <f t="shared" ref="J1:AM1" si="0">TEXT(J2,"ddd")</f>
        <v>Mon</v>
      </c>
      <c r="K1" s="19" t="str">
        <f t="shared" si="0"/>
        <v>Tue</v>
      </c>
      <c r="L1" s="19" t="str">
        <f t="shared" si="0"/>
        <v>Wed</v>
      </c>
      <c r="M1" s="19" t="str">
        <f t="shared" si="0"/>
        <v>Thu</v>
      </c>
      <c r="N1" s="19" t="str">
        <f t="shared" si="0"/>
        <v>Fri</v>
      </c>
      <c r="O1" s="19" t="str">
        <f t="shared" si="0"/>
        <v>Sat</v>
      </c>
      <c r="P1" s="19" t="str">
        <f t="shared" si="0"/>
        <v>Sun</v>
      </c>
      <c r="Q1" s="19" t="str">
        <f t="shared" si="0"/>
        <v>Mon</v>
      </c>
      <c r="R1" s="19" t="str">
        <f t="shared" si="0"/>
        <v>Tue</v>
      </c>
      <c r="S1" s="19" t="str">
        <f t="shared" si="0"/>
        <v>Wed</v>
      </c>
      <c r="T1" s="19" t="str">
        <f t="shared" si="0"/>
        <v>Thu</v>
      </c>
      <c r="U1" s="19" t="str">
        <f t="shared" si="0"/>
        <v>Fri</v>
      </c>
      <c r="V1" s="19" t="str">
        <f t="shared" si="0"/>
        <v>Sat</v>
      </c>
      <c r="W1" s="19" t="str">
        <f t="shared" si="0"/>
        <v>Sun</v>
      </c>
      <c r="X1" s="19" t="str">
        <f t="shared" si="0"/>
        <v>Mon</v>
      </c>
      <c r="Y1" s="19" t="str">
        <f t="shared" si="0"/>
        <v>Tue</v>
      </c>
      <c r="Z1" s="19" t="str">
        <f t="shared" si="0"/>
        <v>Wed</v>
      </c>
      <c r="AA1" s="19" t="str">
        <f t="shared" si="0"/>
        <v>Thu</v>
      </c>
      <c r="AB1" s="19" t="str">
        <f t="shared" si="0"/>
        <v>Fri</v>
      </c>
      <c r="AC1" s="19" t="str">
        <f t="shared" si="0"/>
        <v>Sat</v>
      </c>
      <c r="AD1" s="19" t="str">
        <f t="shared" si="0"/>
        <v>Sun</v>
      </c>
      <c r="AE1" s="19" t="str">
        <f t="shared" si="0"/>
        <v>Mon</v>
      </c>
      <c r="AF1" s="19" t="str">
        <f t="shared" si="0"/>
        <v>Tue</v>
      </c>
      <c r="AG1" s="19" t="str">
        <f t="shared" si="0"/>
        <v>Wed</v>
      </c>
      <c r="AH1" s="19" t="str">
        <f t="shared" si="0"/>
        <v>Thu</v>
      </c>
      <c r="AI1" s="19" t="str">
        <f t="shared" si="0"/>
        <v>Fri</v>
      </c>
      <c r="AJ1" s="19" t="str">
        <f t="shared" si="0"/>
        <v>Sat</v>
      </c>
      <c r="AK1" s="19" t="str">
        <f t="shared" si="0"/>
        <v>Sun</v>
      </c>
      <c r="AL1" s="19" t="str">
        <f t="shared" si="0"/>
        <v>Mon</v>
      </c>
      <c r="AM1" s="19" t="str">
        <f t="shared" si="0"/>
        <v>Tue</v>
      </c>
    </row>
    <row r="2" spans="1:39" ht="16.5" customHeight="1">
      <c r="A2" s="92"/>
      <c r="B2" s="26">
        <f>DAY(EOMONTH(DATEVALUE(B1 &amp; " 1"), 0)) - C2</f>
        <v>20</v>
      </c>
      <c r="C2" s="26">
        <f>VLOOKUP(B1, List!C1:D12, 2, FALSE)</f>
        <v>10</v>
      </c>
      <c r="D2" s="93"/>
      <c r="E2" s="91"/>
      <c r="F2" s="91"/>
      <c r="G2" s="91"/>
      <c r="H2" s="91"/>
      <c r="I2" s="91"/>
      <c r="J2" s="20">
        <f>DATE(A1, MONTH(DATEVALUE(B1 &amp; " 1")), 1)</f>
        <v>46174</v>
      </c>
      <c r="K2" s="20">
        <f t="shared" ref="K2:AM2" si="1">J2 + 1</f>
        <v>46175</v>
      </c>
      <c r="L2" s="20">
        <f t="shared" si="1"/>
        <v>46176</v>
      </c>
      <c r="M2" s="20">
        <f t="shared" si="1"/>
        <v>46177</v>
      </c>
      <c r="N2" s="20">
        <f t="shared" si="1"/>
        <v>46178</v>
      </c>
      <c r="O2" s="20">
        <f t="shared" si="1"/>
        <v>46179</v>
      </c>
      <c r="P2" s="20">
        <f t="shared" si="1"/>
        <v>46180</v>
      </c>
      <c r="Q2" s="20">
        <f t="shared" si="1"/>
        <v>46181</v>
      </c>
      <c r="R2" s="20">
        <f t="shared" si="1"/>
        <v>46182</v>
      </c>
      <c r="S2" s="20">
        <f t="shared" si="1"/>
        <v>46183</v>
      </c>
      <c r="T2" s="20">
        <f t="shared" si="1"/>
        <v>46184</v>
      </c>
      <c r="U2" s="20">
        <f t="shared" si="1"/>
        <v>46185</v>
      </c>
      <c r="V2" s="20">
        <f t="shared" si="1"/>
        <v>46186</v>
      </c>
      <c r="W2" s="20">
        <f t="shared" si="1"/>
        <v>46187</v>
      </c>
      <c r="X2" s="20">
        <f t="shared" si="1"/>
        <v>46188</v>
      </c>
      <c r="Y2" s="20">
        <f t="shared" si="1"/>
        <v>46189</v>
      </c>
      <c r="Z2" s="20">
        <f t="shared" si="1"/>
        <v>46190</v>
      </c>
      <c r="AA2" s="20">
        <f t="shared" si="1"/>
        <v>46191</v>
      </c>
      <c r="AB2" s="20">
        <f t="shared" si="1"/>
        <v>46192</v>
      </c>
      <c r="AC2" s="20">
        <f t="shared" si="1"/>
        <v>46193</v>
      </c>
      <c r="AD2" s="20">
        <f t="shared" si="1"/>
        <v>46194</v>
      </c>
      <c r="AE2" s="20">
        <f t="shared" si="1"/>
        <v>46195</v>
      </c>
      <c r="AF2" s="20">
        <f t="shared" si="1"/>
        <v>46196</v>
      </c>
      <c r="AG2" s="20">
        <f t="shared" si="1"/>
        <v>46197</v>
      </c>
      <c r="AH2" s="20">
        <f t="shared" si="1"/>
        <v>46198</v>
      </c>
      <c r="AI2" s="20">
        <f t="shared" si="1"/>
        <v>46199</v>
      </c>
      <c r="AJ2" s="20">
        <f t="shared" si="1"/>
        <v>46200</v>
      </c>
      <c r="AK2" s="20">
        <f t="shared" si="1"/>
        <v>46201</v>
      </c>
      <c r="AL2" s="20">
        <f t="shared" si="1"/>
        <v>46202</v>
      </c>
      <c r="AM2" s="20">
        <f t="shared" si="1"/>
        <v>46203</v>
      </c>
    </row>
    <row r="3" spans="1:39" ht="16.5" customHeight="1">
      <c r="A3" s="85" t="s">
        <v>8</v>
      </c>
      <c r="B3" s="86" t="s">
        <v>9</v>
      </c>
      <c r="C3" s="87" t="s">
        <v>10</v>
      </c>
      <c r="D3" s="88" t="s">
        <v>11</v>
      </c>
      <c r="E3" s="28" cm="1">
        <f t="array" ref="E3">SUMPRODUCT(COUNTIF(J3:AM3, {"*00:00*","*09:00*","*12:00*","*08:00*","*11:00*","*15:00*","*13:00*"}))+(COUNTIF(J3:AM3,{"*Half"})*0.5)</f>
        <v>17</v>
      </c>
      <c r="F3" s="29" cm="1">
        <f t="array" ref="F3">SUMPRODUCT(ISNUMBER(FIND("OFF",J3:AM3))*1)</f>
        <v>10</v>
      </c>
      <c r="G3" s="28">
        <f xml:space="preserve"> (COUNTIF(J3:AM3,"PTO")*1
   + COUNTIF(J3:AM3,"Half-PTO")*0.5+ + COUNTIF(J3:AM3,"PTO-Half")*0.5)</f>
        <v>3</v>
      </c>
      <c r="H3" s="28">
        <f xml:space="preserve"> (COUNTIF(J3:AM3,"AL")*1
   + COUNTIF(J3:AM3,"Half-AL")*0.5+ + COUNTIF(J3:AM3,"AL-Half")*0.5)</f>
        <v>0</v>
      </c>
      <c r="I3" s="29" cm="1">
        <f t="array" ref="I3">SUMPRODUCT(ISNUMBER(FIND("LOA",J3:AM3))*1)</f>
        <v>0</v>
      </c>
      <c r="J3" s="24" t="s">
        <v>12</v>
      </c>
      <c r="K3" s="24" t="str">
        <f t="shared" ref="K3:AM3" si="2">IF(  OR(    AND($C$3="日一", OR(K$1="Sun", K$1="Mon")),AND($C$3="六日", OR(K$1="Sun", K$1="Sat")),
    AND($C$3="五六", OR(K$1="Fri", K$1="Sat")),AND($C$3="四五", OR(K$1="Fri", K$1="Thu")),AND($C$3="二三", OR(K$1="Wed", K$1="Tue")),
    AND($C$3="三四", OR(K$1="Wed", K$1="Thu"))
  ),
  "OFF",
  "08:00"
)</f>
        <v>08:00</v>
      </c>
      <c r="L3" s="24" t="s">
        <v>13</v>
      </c>
      <c r="M3" s="24" t="str">
        <f t="shared" si="2"/>
        <v>OFF</v>
      </c>
      <c r="N3" s="24" t="s">
        <v>14</v>
      </c>
      <c r="O3" s="24" t="str">
        <f t="shared" si="2"/>
        <v>08:00</v>
      </c>
      <c r="P3" s="24" t="str">
        <f t="shared" si="2"/>
        <v>08:00</v>
      </c>
      <c r="Q3" s="24" t="str">
        <f t="shared" si="2"/>
        <v>08:00</v>
      </c>
      <c r="R3" s="24" t="str">
        <f t="shared" si="2"/>
        <v>08:00</v>
      </c>
      <c r="S3" s="24" t="str">
        <f t="shared" si="2"/>
        <v>OFF</v>
      </c>
      <c r="T3" s="24" t="str">
        <f t="shared" si="2"/>
        <v>OFF</v>
      </c>
      <c r="U3" s="24" t="str">
        <f t="shared" si="2"/>
        <v>08:00</v>
      </c>
      <c r="V3" s="24" t="str">
        <f t="shared" si="2"/>
        <v>08:00</v>
      </c>
      <c r="W3" s="24" t="str">
        <f t="shared" si="2"/>
        <v>08:00</v>
      </c>
      <c r="X3" s="24" t="s">
        <v>5</v>
      </c>
      <c r="Y3" s="24" t="s">
        <v>14</v>
      </c>
      <c r="Z3" s="24" t="str">
        <f t="shared" si="2"/>
        <v>OFF</v>
      </c>
      <c r="AA3" s="24" t="str">
        <f t="shared" si="2"/>
        <v>OFF</v>
      </c>
      <c r="AB3" s="24" t="str">
        <f t="shared" si="2"/>
        <v>08:00</v>
      </c>
      <c r="AC3" s="24" t="str">
        <f t="shared" si="2"/>
        <v>08:00</v>
      </c>
      <c r="AD3" s="24" t="s">
        <v>12</v>
      </c>
      <c r="AE3" s="24" t="str">
        <f t="shared" si="2"/>
        <v>08:00</v>
      </c>
      <c r="AF3" s="24" t="str">
        <f t="shared" si="2"/>
        <v>08:00</v>
      </c>
      <c r="AG3" s="24" t="str">
        <f t="shared" si="2"/>
        <v>OFF</v>
      </c>
      <c r="AH3" s="24" t="str">
        <f t="shared" si="2"/>
        <v>OFF</v>
      </c>
      <c r="AI3" s="24" t="str">
        <f t="shared" si="2"/>
        <v>08:00</v>
      </c>
      <c r="AJ3" s="24" t="str">
        <f t="shared" si="2"/>
        <v>08:00</v>
      </c>
      <c r="AK3" s="24" t="s">
        <v>12</v>
      </c>
      <c r="AL3" s="24" t="str">
        <f t="shared" si="2"/>
        <v>08:00</v>
      </c>
      <c r="AM3" s="24" t="str">
        <f t="shared" si="2"/>
        <v>08:00</v>
      </c>
    </row>
    <row r="4" spans="1:39" ht="16.5" customHeight="1">
      <c r="A4" s="85"/>
      <c r="B4" s="86"/>
      <c r="C4" s="87"/>
      <c r="D4" s="89"/>
      <c r="E4" s="72" t="s">
        <v>15</v>
      </c>
      <c r="F4" s="72"/>
      <c r="G4" s="72"/>
      <c r="H4" s="72"/>
      <c r="I4" s="72"/>
      <c r="J4" s="25"/>
      <c r="K4" s="25" t="s">
        <v>16</v>
      </c>
      <c r="L4" s="25" t="s">
        <v>16</v>
      </c>
      <c r="M4" s="25"/>
      <c r="N4" s="25"/>
      <c r="O4" s="25"/>
      <c r="P4" s="25"/>
      <c r="Q4" s="25" t="s">
        <v>16</v>
      </c>
      <c r="R4" s="25" t="s">
        <v>16</v>
      </c>
      <c r="S4" s="25"/>
      <c r="T4" s="25"/>
      <c r="U4" s="25" t="s">
        <v>16</v>
      </c>
      <c r="V4" s="25"/>
      <c r="W4" s="25"/>
      <c r="X4" s="25"/>
      <c r="Y4" s="25"/>
      <c r="Z4" s="25"/>
      <c r="AA4" s="25"/>
      <c r="AB4" s="25"/>
      <c r="AC4" s="25"/>
      <c r="AD4" s="25"/>
      <c r="AE4" s="25" t="s">
        <v>17</v>
      </c>
      <c r="AF4" s="25" t="s">
        <v>17</v>
      </c>
      <c r="AG4" s="25"/>
      <c r="AH4" s="25"/>
      <c r="AI4" s="25" t="s">
        <v>17</v>
      </c>
      <c r="AJ4" s="25"/>
      <c r="AK4" s="25"/>
      <c r="AL4" s="25" t="s">
        <v>17</v>
      </c>
      <c r="AM4" s="25" t="s">
        <v>17</v>
      </c>
    </row>
    <row r="5" spans="1:39" ht="16.5" customHeight="1">
      <c r="A5" s="85" t="s">
        <v>18</v>
      </c>
      <c r="B5" s="86" t="s">
        <v>9</v>
      </c>
      <c r="C5" s="87" t="s">
        <v>19</v>
      </c>
      <c r="D5" s="89"/>
      <c r="E5" s="28" cm="1">
        <f t="array" ref="E5">SUMPRODUCT(COUNTIF(J5:AM5, {"*00:00*","*09:00*","*12:00*","*08:00*","*11:00*","*15:00*","*13:00*"}))+(COUNTIF(J5:AM5,{"*Half"})*0.5)</f>
        <v>20</v>
      </c>
      <c r="F5" s="29" cm="1">
        <f t="array" ref="F5">SUMPRODUCT(ISNUMBER(FIND("OFF",J5:AM5))*1)</f>
        <v>10</v>
      </c>
      <c r="G5" s="28">
        <f xml:space="preserve"> (COUNTIF(J5:AM5,"PTO")*1
   + COUNTIF(J5:AM5,"Half-PTO")*0.5+ + COUNTIF(J5:AM5,"PTO-Half")*0.5)</f>
        <v>0</v>
      </c>
      <c r="H5" s="28">
        <f xml:space="preserve"> (COUNTIF(J5:AM5,"AL")*1
   + COUNTIF(J5:AM5,"Half-AL")*0.5+ + COUNTIF(J5:AM5,"AL-Half")*0.5)</f>
        <v>0</v>
      </c>
      <c r="I5" s="29" cm="1">
        <f t="array" ref="I5">SUMPRODUCT(ISNUMBER(FIND("LOA",J5:AM5))*1)</f>
        <v>0</v>
      </c>
      <c r="J5" s="24" t="str">
        <f t="shared" ref="J5:AL5" si="3">IF(
  OR(
    AND($C$5="二三", OR(J$1="Tue", J$1="Wed")),AND($C$5="三四", OR(J$1="Wed", J$1="Thu")),AND($C$5="四五", OR(J$1="Fri", J$1="Thu")),AND($C$5="日一", OR(J$1="Sun", J$1="Mon")),
    AND($C$5="五六", OR(J$1="Fri", J$1="Sat")), AND($C$5="六日", OR(J$1="Sun", J$1="Sat"))
  ),
  "OFF",
  "08:00"
)</f>
        <v>08:00</v>
      </c>
      <c r="K5" s="24" t="str">
        <f t="shared" si="3"/>
        <v>08:00</v>
      </c>
      <c r="L5" s="24" t="s">
        <v>12</v>
      </c>
      <c r="M5" s="24" t="str">
        <f t="shared" si="3"/>
        <v>08:00</v>
      </c>
      <c r="N5" s="24" t="s">
        <v>13</v>
      </c>
      <c r="O5" s="24" t="str">
        <f t="shared" si="3"/>
        <v>OFF</v>
      </c>
      <c r="P5" s="24" t="str">
        <f t="shared" si="3"/>
        <v>08:00</v>
      </c>
      <c r="Q5" s="24" t="str">
        <f t="shared" si="3"/>
        <v>08:00</v>
      </c>
      <c r="R5" s="24" t="str">
        <f t="shared" si="3"/>
        <v>08:00</v>
      </c>
      <c r="S5" s="24" t="str">
        <f t="shared" si="3"/>
        <v>08:00</v>
      </c>
      <c r="T5" s="24" t="str">
        <f t="shared" si="3"/>
        <v>08:00</v>
      </c>
      <c r="U5" s="24" t="str">
        <f t="shared" si="3"/>
        <v>OFF</v>
      </c>
      <c r="V5" s="24" t="str">
        <f t="shared" si="3"/>
        <v>OFF</v>
      </c>
      <c r="W5" s="24" t="s">
        <v>12</v>
      </c>
      <c r="X5" s="24" t="str">
        <f t="shared" si="3"/>
        <v>08:00</v>
      </c>
      <c r="Y5" s="24" t="str">
        <f t="shared" si="3"/>
        <v>08:00</v>
      </c>
      <c r="Z5" s="24" t="str">
        <f t="shared" si="3"/>
        <v>08:00</v>
      </c>
      <c r="AA5" s="24" t="str">
        <f t="shared" si="3"/>
        <v>08:00</v>
      </c>
      <c r="AB5" s="24" t="str">
        <f t="shared" si="3"/>
        <v>OFF</v>
      </c>
      <c r="AC5" s="24" t="str">
        <f t="shared" si="3"/>
        <v>OFF</v>
      </c>
      <c r="AD5" s="24" t="str">
        <f t="shared" si="3"/>
        <v>08:00</v>
      </c>
      <c r="AE5" s="24" t="str">
        <f t="shared" si="3"/>
        <v>08:00</v>
      </c>
      <c r="AF5" s="24" t="str">
        <f t="shared" si="3"/>
        <v>08:00</v>
      </c>
      <c r="AG5" s="24" t="str">
        <f t="shared" si="3"/>
        <v>08:00</v>
      </c>
      <c r="AH5" s="24" t="str">
        <f t="shared" si="3"/>
        <v>08:00</v>
      </c>
      <c r="AI5" s="24" t="str">
        <f t="shared" si="3"/>
        <v>OFF</v>
      </c>
      <c r="AJ5" s="24" t="str">
        <f t="shared" si="3"/>
        <v>OFF</v>
      </c>
      <c r="AK5" s="24" t="str">
        <f t="shared" si="3"/>
        <v>08:00</v>
      </c>
      <c r="AL5" s="24" t="str">
        <f t="shared" si="3"/>
        <v>08:00</v>
      </c>
      <c r="AM5" s="24" t="s">
        <v>12</v>
      </c>
    </row>
    <row r="6" spans="1:39" ht="16.5" customHeight="1">
      <c r="A6" s="85"/>
      <c r="B6" s="86"/>
      <c r="C6" s="87"/>
      <c r="D6" s="90"/>
      <c r="E6" s="72" t="s">
        <v>15</v>
      </c>
      <c r="F6" s="72"/>
      <c r="G6" s="72"/>
      <c r="H6" s="72"/>
      <c r="I6" s="72"/>
      <c r="J6" s="25" t="s">
        <v>20</v>
      </c>
      <c r="K6" s="25" t="s">
        <v>20</v>
      </c>
      <c r="L6" s="25"/>
      <c r="M6" s="25" t="s">
        <v>20</v>
      </c>
      <c r="N6" s="25" t="s">
        <v>20</v>
      </c>
      <c r="O6" s="25"/>
      <c r="P6" s="25"/>
      <c r="Q6" s="25" t="s">
        <v>20</v>
      </c>
      <c r="R6" s="25" t="s">
        <v>20</v>
      </c>
      <c r="S6" s="25" t="s">
        <v>20</v>
      </c>
      <c r="T6" s="25" t="s">
        <v>20</v>
      </c>
      <c r="U6" s="25"/>
      <c r="V6" s="25"/>
      <c r="W6" s="25"/>
      <c r="X6" s="25" t="s">
        <v>21</v>
      </c>
      <c r="Y6" s="25" t="s">
        <v>21</v>
      </c>
      <c r="Z6" s="25" t="s">
        <v>21</v>
      </c>
      <c r="AA6" s="25" t="s">
        <v>21</v>
      </c>
      <c r="AB6" s="25"/>
      <c r="AC6" s="25"/>
      <c r="AD6" s="25"/>
      <c r="AE6" s="25" t="s">
        <v>21</v>
      </c>
      <c r="AF6" s="25" t="s">
        <v>21</v>
      </c>
      <c r="AG6" s="25" t="s">
        <v>21</v>
      </c>
      <c r="AH6" s="25" t="s">
        <v>21</v>
      </c>
      <c r="AI6" s="25"/>
      <c r="AJ6" s="25"/>
      <c r="AK6" s="25"/>
      <c r="AL6" s="25" t="s">
        <v>21</v>
      </c>
      <c r="AM6" s="25"/>
    </row>
    <row r="7" spans="1:39" ht="16.5" customHeight="1">
      <c r="A7" s="80" t="s">
        <v>22</v>
      </c>
      <c r="B7" s="81" t="s">
        <v>23</v>
      </c>
      <c r="C7" s="82" t="s">
        <v>10</v>
      </c>
      <c r="D7" s="83" t="s">
        <v>24</v>
      </c>
      <c r="E7" s="30" cm="1">
        <f t="array" ref="E7">SUMPRODUCT(COUNTIF(J7:AM7, {"*00:00*","*09:00*","*12:00*","*08:00*","*11:00*","*15:00*","*13:00*"}))+(COUNTIF(J7:AM7,{"*Half"})*0.5)</f>
        <v>19.5</v>
      </c>
      <c r="F7" s="31" cm="1">
        <f t="array" ref="F7">SUMPRODUCT(ISNUMBER(FIND("OFF",J7:AM7))*1)</f>
        <v>10</v>
      </c>
      <c r="G7" s="30">
        <f xml:space="preserve"> (COUNTIF(J7:AM7,"PTO")*1
   + COUNTIF(J7:AM7,"Half-PTO")*0.5+ + COUNTIF(J7:AM7,"PTO-Half")*0.5)</f>
        <v>0.5</v>
      </c>
      <c r="H7" s="30">
        <f xml:space="preserve"> (COUNTIF(J7:AM7,"AL")*1
   + COUNTIF(J7:AM7,"Half-AL")*0.5+ + COUNTIF(J7:AM7,"AL-Half")*0.5)</f>
        <v>0</v>
      </c>
      <c r="I7" s="31" cm="1">
        <f t="array" ref="I7">SUMPRODUCT(ISNUMBER(FIND("LOA",J7:AM7))*1)</f>
        <v>0</v>
      </c>
      <c r="J7" s="24" t="str">
        <f t="shared" ref="J7:AM7" si="4">IF(
  OR(
    AND($C$7="二三", OR(J$1="Tue", J$1="Wed")),AND($C$7="四五", OR(J$1="Fri", J$1="Thu")),
    AND($C$7="五六", OR(J$1="Fri", J$1="Sat")),AND($C$7="六日", OR(J$1="Sun", J$1="Sat")),AND($C$7="日一", OR(J$1="Sun", J$1="Mon")),
    AND($C$7="三四", OR(J$1="Wed", J$1="Thu"))
  ),
  "OFF",
  "11:00"
)</f>
        <v>11:00</v>
      </c>
      <c r="K7" s="67" t="s">
        <v>25</v>
      </c>
      <c r="L7" s="24" t="str">
        <f t="shared" si="4"/>
        <v>OFF</v>
      </c>
      <c r="M7" s="24" t="str">
        <f t="shared" si="4"/>
        <v>OFF</v>
      </c>
      <c r="N7" s="24" t="str">
        <f t="shared" si="4"/>
        <v>11:00</v>
      </c>
      <c r="O7" s="24" t="str">
        <f t="shared" si="4"/>
        <v>11:00</v>
      </c>
      <c r="P7" s="24" t="str">
        <f t="shared" si="4"/>
        <v>11:00</v>
      </c>
      <c r="Q7" s="24" t="str">
        <f t="shared" si="4"/>
        <v>11:00</v>
      </c>
      <c r="R7" s="24" t="str">
        <f t="shared" si="4"/>
        <v>11:00</v>
      </c>
      <c r="S7" s="24" t="str">
        <f t="shared" si="4"/>
        <v>OFF</v>
      </c>
      <c r="T7" s="24" t="str">
        <f t="shared" si="4"/>
        <v>OFF</v>
      </c>
      <c r="U7" s="24" t="str">
        <f t="shared" si="4"/>
        <v>11:00</v>
      </c>
      <c r="V7" s="24" t="str">
        <f t="shared" si="4"/>
        <v>11:00</v>
      </c>
      <c r="W7" s="24" t="s">
        <v>12</v>
      </c>
      <c r="X7" s="24" t="str">
        <f t="shared" si="4"/>
        <v>11:00</v>
      </c>
      <c r="Y7" s="24" t="str">
        <f t="shared" si="4"/>
        <v>11:00</v>
      </c>
      <c r="Z7" s="24" t="str">
        <f t="shared" si="4"/>
        <v>OFF</v>
      </c>
      <c r="AA7" s="24" t="str">
        <f t="shared" si="4"/>
        <v>OFF</v>
      </c>
      <c r="AB7" s="24" t="str">
        <f t="shared" si="4"/>
        <v>11:00</v>
      </c>
      <c r="AC7" s="24" t="str">
        <f t="shared" si="4"/>
        <v>11:00</v>
      </c>
      <c r="AD7" s="24" t="str">
        <f t="shared" si="4"/>
        <v>11:00</v>
      </c>
      <c r="AE7" s="24" t="str">
        <f t="shared" si="4"/>
        <v>11:00</v>
      </c>
      <c r="AF7" s="24" t="str">
        <f t="shared" si="4"/>
        <v>11:00</v>
      </c>
      <c r="AG7" s="24" t="str">
        <f t="shared" si="4"/>
        <v>OFF</v>
      </c>
      <c r="AH7" s="24" t="str">
        <f t="shared" si="4"/>
        <v>OFF</v>
      </c>
      <c r="AI7" s="24" t="str">
        <f t="shared" si="4"/>
        <v>11:00</v>
      </c>
      <c r="AJ7" s="24" t="str">
        <f t="shared" si="4"/>
        <v>11:00</v>
      </c>
      <c r="AK7" s="24" t="s">
        <v>12</v>
      </c>
      <c r="AL7" s="24" t="str">
        <f t="shared" si="4"/>
        <v>11:00</v>
      </c>
      <c r="AM7" s="24" t="str">
        <f t="shared" si="4"/>
        <v>11:00</v>
      </c>
    </row>
    <row r="8" spans="1:39" ht="16.5" customHeight="1">
      <c r="A8" s="80"/>
      <c r="B8" s="81"/>
      <c r="C8" s="82"/>
      <c r="D8" s="84"/>
      <c r="E8" s="72" t="s">
        <v>15</v>
      </c>
      <c r="F8" s="72"/>
      <c r="G8" s="72"/>
      <c r="H8" s="72"/>
      <c r="I8" s="7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ht="16.5" customHeight="1">
      <c r="A9" s="80" t="s">
        <v>26</v>
      </c>
      <c r="B9" s="81" t="s">
        <v>23</v>
      </c>
      <c r="C9" s="82" t="s">
        <v>19</v>
      </c>
      <c r="D9" s="84"/>
      <c r="E9" s="30" cm="1">
        <f t="array" ref="E9">SUMPRODUCT(COUNTIF(J9:AM9, {"*00:00*","*09:00*","*12:00*","*08:00*","*11:00*","*15:00*","*13:00*"}))+(COUNTIF(J9:AM9,{"*Half"})*0.5)</f>
        <v>18</v>
      </c>
      <c r="F9" s="31" cm="1">
        <f t="array" ref="F9">SUMPRODUCT(ISNUMBER(FIND("OFF",J9:AM9))*1)</f>
        <v>10</v>
      </c>
      <c r="G9" s="30">
        <f xml:space="preserve"> (COUNTIF(J9:AM9,"PTO")*1
   + COUNTIF(J9:AM9,"Half-PTO")*0.5+ + COUNTIF(J9:AM9,"PTO-Half")*0.5)</f>
        <v>2</v>
      </c>
      <c r="H9" s="30">
        <f xml:space="preserve"> (COUNTIF(J9:AM9,"AL")*1
   + COUNTIF(J9:AM9,"Half-AL")*0.5+ + COUNTIF(J9:AM9,"AL-Half")*0.5)</f>
        <v>0</v>
      </c>
      <c r="I9" s="31" cm="1">
        <f t="array" ref="I9">SUMPRODUCT(ISNUMBER(FIND("LOA",J9:AM9))*1)</f>
        <v>0</v>
      </c>
      <c r="J9" s="24" t="str">
        <f t="shared" ref="J9:AL9" si="5">IF(
  OR(
    AND($C$9="日一", OR(J$1="Sun", J$1="Mon")),AND($C$9="六日", OR(J$1="Sun", J$1="Sat")),
    AND($C$9="五六", OR(J$1="Fri", J$1="Sat")),AND($C$9="四五", OR(J$1="Fri", J$1="Thu")),
    AND($C$9="三四", OR(J$1="Wed", J$1="Thu")),AND($C$9="二三", OR(J$1="Wed", J$1="Tue"))
  ),
  "OFF","11:00"
)</f>
        <v>11:00</v>
      </c>
      <c r="K9" s="24" t="str">
        <f t="shared" si="5"/>
        <v>11:00</v>
      </c>
      <c r="L9" s="24" t="str">
        <f t="shared" si="5"/>
        <v>11:00</v>
      </c>
      <c r="M9" s="24" t="str">
        <f t="shared" si="5"/>
        <v>11:00</v>
      </c>
      <c r="N9" s="24" t="s">
        <v>27</v>
      </c>
      <c r="O9" s="24" t="str">
        <f t="shared" si="5"/>
        <v>OFF</v>
      </c>
      <c r="P9" s="24" t="s">
        <v>12</v>
      </c>
      <c r="Q9" s="24" t="str">
        <f t="shared" si="5"/>
        <v>11:00</v>
      </c>
      <c r="R9" s="24" t="s">
        <v>5</v>
      </c>
      <c r="S9" s="24" t="str">
        <f t="shared" si="5"/>
        <v>11:00</v>
      </c>
      <c r="T9" s="24" t="str">
        <f t="shared" si="5"/>
        <v>11:00</v>
      </c>
      <c r="U9" s="24" t="str">
        <f t="shared" si="5"/>
        <v>OFF</v>
      </c>
      <c r="V9" s="24" t="str">
        <f t="shared" si="5"/>
        <v>OFF</v>
      </c>
      <c r="W9" s="24" t="str">
        <f t="shared" si="5"/>
        <v>11:00</v>
      </c>
      <c r="X9" s="24" t="str">
        <f t="shared" si="5"/>
        <v>11:00</v>
      </c>
      <c r="Y9" s="24" t="s">
        <v>12</v>
      </c>
      <c r="Z9" s="24" t="str">
        <f t="shared" si="5"/>
        <v>11:00</v>
      </c>
      <c r="AA9" s="24" t="str">
        <f t="shared" si="5"/>
        <v>11:00</v>
      </c>
      <c r="AB9" s="24" t="s">
        <v>27</v>
      </c>
      <c r="AC9" s="24" t="str">
        <f t="shared" si="5"/>
        <v>OFF</v>
      </c>
      <c r="AD9" s="24" t="s">
        <v>12</v>
      </c>
      <c r="AE9" s="24" t="str">
        <f t="shared" si="5"/>
        <v>11:00</v>
      </c>
      <c r="AF9" s="24" t="s">
        <v>5</v>
      </c>
      <c r="AG9" s="24" t="str">
        <f t="shared" si="5"/>
        <v>11:00</v>
      </c>
      <c r="AH9" s="24" t="str">
        <f t="shared" si="5"/>
        <v>11:00</v>
      </c>
      <c r="AI9" s="24" t="str">
        <f t="shared" si="5"/>
        <v>OFF</v>
      </c>
      <c r="AJ9" s="24" t="str">
        <f t="shared" si="5"/>
        <v>OFF</v>
      </c>
      <c r="AK9" s="24" t="str">
        <f t="shared" si="5"/>
        <v>11:00</v>
      </c>
      <c r="AL9" s="24" t="str">
        <f t="shared" si="5"/>
        <v>11:00</v>
      </c>
      <c r="AM9" s="24" t="s">
        <v>12</v>
      </c>
    </row>
    <row r="10" spans="1:39" ht="16.5" customHeight="1">
      <c r="A10" s="80"/>
      <c r="B10" s="81"/>
      <c r="C10" s="82"/>
      <c r="D10" s="84"/>
      <c r="E10" s="72" t="s">
        <v>15</v>
      </c>
      <c r="F10" s="72"/>
      <c r="G10" s="72"/>
      <c r="H10" s="72"/>
      <c r="I10" s="7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pans="1:39" ht="16.5" customHeight="1">
      <c r="A11" s="73" t="s">
        <v>28</v>
      </c>
      <c r="B11" s="74" t="s">
        <v>29</v>
      </c>
      <c r="C11" s="76" t="s">
        <v>30</v>
      </c>
      <c r="D11" s="77" t="s">
        <v>31</v>
      </c>
      <c r="E11" s="32" cm="1">
        <f t="array" ref="E11">SUMPRODUCT(COUNTIF(J11:AM11, {"*00:00*","*09:00*","*12:00*","*08:00*","*11:00*","*15:00*","*13:00*"}))+(COUNTIF(J11:AM11,{"*Half"})*0.5)</f>
        <v>19</v>
      </c>
      <c r="F11" s="33" cm="1">
        <f t="array" ref="F11">SUMPRODUCT(ISNUMBER(FIND("OFF",J11:AM11))*1)</f>
        <v>10</v>
      </c>
      <c r="G11" s="32">
        <f xml:space="preserve"> (COUNTIF(J11:AM11,"PTO")*1
   + COUNTIF(J11:AM11,"Half-PTO")*0.5+ + COUNTIF(J11:AM11,"PTO-Half")*0.5)</f>
        <v>1</v>
      </c>
      <c r="H11" s="32">
        <f xml:space="preserve"> (COUNTIF(J11:AM11,"AL")*1
   + COUNTIF(J11:AM11,"Half-AL")*0.5+ + COUNTIF(J11:AM11,"AL-Half")*0.5)</f>
        <v>0</v>
      </c>
      <c r="I11" s="33" cm="1">
        <f t="array" ref="I11">SUMPRODUCT(ISNUMBER(FIND("LOA",J11:AM11))*1)</f>
        <v>0</v>
      </c>
      <c r="J11" s="24" t="str">
        <f t="shared" ref="J11:AM11" si="6">IF(  OR(AND($C$11="六日", OR(J$1="Sun", J$1="Sat")),
    AND($C$11="日一", OR(J$1="Sun", J$1="Mon")),AND($C$11="二三", OR(J$1="Tue", J$1="Wed")),AND($C$11="一二", OR(J$1="Tue", J$1="Mon")),
    AND($C$11="五六", OR(J$1="Fri", J$1="Sat")), AND($C$11="四五", OR(J$1="Fri", J$1="Thu")),
    AND($C$11="三四", OR(J$1="Wed", J$1="Thu"))
  ),
  "OFF",
  "15:00"
)</f>
        <v>OFF</v>
      </c>
      <c r="K11" s="24" t="str">
        <f t="shared" si="6"/>
        <v>15:00</v>
      </c>
      <c r="L11" s="24" t="str">
        <f t="shared" si="6"/>
        <v>15:00</v>
      </c>
      <c r="M11" s="24" t="str">
        <f t="shared" si="6"/>
        <v>15:00</v>
      </c>
      <c r="N11" s="24" t="str">
        <f t="shared" si="6"/>
        <v>15:00</v>
      </c>
      <c r="O11" s="24" t="str">
        <f t="shared" si="6"/>
        <v>15:00</v>
      </c>
      <c r="P11" s="24" t="str">
        <f t="shared" si="6"/>
        <v>OFF</v>
      </c>
      <c r="Q11" s="24" t="str">
        <f t="shared" si="6"/>
        <v>OFF</v>
      </c>
      <c r="R11" s="24" t="str">
        <f t="shared" si="6"/>
        <v>15:00</v>
      </c>
      <c r="S11" s="24" t="str">
        <f t="shared" si="6"/>
        <v>15:00</v>
      </c>
      <c r="T11" s="24" t="str">
        <f t="shared" si="6"/>
        <v>15:00</v>
      </c>
      <c r="U11" s="24" t="str">
        <f t="shared" si="6"/>
        <v>15:00</v>
      </c>
      <c r="V11" s="24" t="str">
        <f t="shared" si="6"/>
        <v>15:00</v>
      </c>
      <c r="W11" s="24" t="str">
        <f t="shared" si="6"/>
        <v>OFF</v>
      </c>
      <c r="X11" s="24" t="str">
        <f t="shared" si="6"/>
        <v>OFF</v>
      </c>
      <c r="Y11" s="24" t="s">
        <v>12</v>
      </c>
      <c r="Z11" s="24" t="str">
        <f t="shared" si="6"/>
        <v>15:00</v>
      </c>
      <c r="AA11" s="24" t="str">
        <f t="shared" si="6"/>
        <v>15:00</v>
      </c>
      <c r="AB11" s="24" t="s">
        <v>14</v>
      </c>
      <c r="AC11" s="24" t="str">
        <f t="shared" si="6"/>
        <v>15:00</v>
      </c>
      <c r="AD11" s="24" t="str">
        <f t="shared" si="6"/>
        <v>OFF</v>
      </c>
      <c r="AE11" s="24" t="str">
        <f t="shared" si="6"/>
        <v>OFF</v>
      </c>
      <c r="AF11" s="24" t="str">
        <f t="shared" si="6"/>
        <v>15:00</v>
      </c>
      <c r="AG11" s="24" t="str">
        <f t="shared" si="6"/>
        <v>15:00</v>
      </c>
      <c r="AH11" s="24" t="str">
        <f t="shared" si="6"/>
        <v>15:00</v>
      </c>
      <c r="AI11" s="24" t="str">
        <f t="shared" si="6"/>
        <v>15:00</v>
      </c>
      <c r="AJ11" s="24" t="str">
        <f t="shared" si="6"/>
        <v>15:00</v>
      </c>
      <c r="AK11" s="24" t="str">
        <f t="shared" si="6"/>
        <v>OFF</v>
      </c>
      <c r="AL11" s="24" t="str">
        <f t="shared" si="6"/>
        <v>OFF</v>
      </c>
      <c r="AM11" s="24" t="str">
        <f t="shared" si="6"/>
        <v>15:00</v>
      </c>
    </row>
    <row r="12" spans="1:39" ht="16.5" customHeight="1">
      <c r="A12" s="73"/>
      <c r="B12" s="75"/>
      <c r="C12" s="76"/>
      <c r="D12" s="78"/>
      <c r="E12" s="72" t="s">
        <v>15</v>
      </c>
      <c r="F12" s="72"/>
      <c r="G12" s="72"/>
      <c r="H12" s="72"/>
      <c r="I12" s="7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ht="16.5" customHeight="1">
      <c r="A13" s="73" t="s">
        <v>32</v>
      </c>
      <c r="B13" s="74" t="s">
        <v>29</v>
      </c>
      <c r="C13" s="76" t="s">
        <v>10</v>
      </c>
      <c r="D13" s="78"/>
      <c r="E13" s="32" cm="1">
        <f t="array" ref="E13">SUMPRODUCT(COUNTIF(J13:AM13, {"*00:00*","*09:00*","*12:00*","*08:00*","*11:00*","*15:00*","*13:00*"}))+(COUNTIF(J13:AM13,{"*Half"})*0.5)</f>
        <v>19</v>
      </c>
      <c r="F13" s="33" cm="1">
        <f t="array" ref="F13">SUMPRODUCT(ISNUMBER(FIND("OFF",J13:AM13))*1)</f>
        <v>10</v>
      </c>
      <c r="G13" s="32">
        <f xml:space="preserve"> (COUNTIF(J13:AM13,"PTO")*1
   + COUNTIF(J13:AM13,"Half-PTO")*0.5+ + COUNTIF(J13:AM13,"PTO-Half")*0.5)</f>
        <v>1</v>
      </c>
      <c r="H13" s="32">
        <f xml:space="preserve"> (COUNTIF(J13:AM13,"AL")*1
   + COUNTIF(J13:AM13,"Half-AL")*0.5+ + COUNTIF(J13:AM13,"AL-Half")*0.5)</f>
        <v>0</v>
      </c>
      <c r="I13" s="33" cm="1">
        <f t="array" ref="I13">SUMPRODUCT(ISNUMBER(FIND("LOA",J13:AM13))*1)</f>
        <v>0</v>
      </c>
      <c r="J13" s="24" t="str">
        <f t="shared" ref="J13:AM13" si="7">IF(
  OR(AND($C$13="一二", OR(J$1="Tue", J$1="Mon")),
    AND($C$13="日一", OR(J$1="Sun", J$1="Mon")),AND($C$13="四五", OR(J$1="Fri", J$1="Thu")),
    AND($C$13="五六", OR(J$1="Fri", J$1="Sat")), AND($C$13="二三", OR(J$1="Tue", J$1="Wed")),
    AND($C$13="三四", OR(J$1="Wed", J$1="Thu"))
  ),
  "OFF",
  "15:00"
)</f>
        <v>15:00</v>
      </c>
      <c r="K13" s="24" t="str">
        <f t="shared" si="7"/>
        <v>15:00</v>
      </c>
      <c r="L13" s="24" t="s">
        <v>33</v>
      </c>
      <c r="M13" s="24" t="str">
        <f t="shared" si="7"/>
        <v>OFF</v>
      </c>
      <c r="N13" s="24" t="s">
        <v>12</v>
      </c>
      <c r="O13" s="24" t="str">
        <f t="shared" si="7"/>
        <v>15:00</v>
      </c>
      <c r="P13" s="24" t="str">
        <f t="shared" si="7"/>
        <v>15:00</v>
      </c>
      <c r="Q13" s="24" t="str">
        <f t="shared" si="7"/>
        <v>15:00</v>
      </c>
      <c r="R13" s="24" t="str">
        <f t="shared" si="7"/>
        <v>15:00</v>
      </c>
      <c r="S13" s="24" t="str">
        <f t="shared" si="7"/>
        <v>OFF</v>
      </c>
      <c r="T13" s="24" t="str">
        <f t="shared" si="7"/>
        <v>OFF</v>
      </c>
      <c r="U13" s="24" t="str">
        <f t="shared" si="7"/>
        <v>15:00</v>
      </c>
      <c r="V13" s="24" t="str">
        <f t="shared" si="7"/>
        <v>15:00</v>
      </c>
      <c r="W13" s="24" t="str">
        <f t="shared" si="7"/>
        <v>15:00</v>
      </c>
      <c r="X13" s="24" t="str">
        <f t="shared" si="7"/>
        <v>15:00</v>
      </c>
      <c r="Y13" s="24" t="str">
        <f t="shared" si="7"/>
        <v>15:00</v>
      </c>
      <c r="Z13" s="24" t="str">
        <f t="shared" si="7"/>
        <v>OFF</v>
      </c>
      <c r="AA13" s="24" t="str">
        <f t="shared" si="7"/>
        <v>OFF</v>
      </c>
      <c r="AB13" s="24" t="str">
        <f t="shared" si="7"/>
        <v>15:00</v>
      </c>
      <c r="AC13" s="24" t="str">
        <f t="shared" si="7"/>
        <v>15:00</v>
      </c>
      <c r="AD13" s="24" t="str">
        <f t="shared" si="7"/>
        <v>15:00</v>
      </c>
      <c r="AE13" s="24" t="s">
        <v>5</v>
      </c>
      <c r="AF13" s="24" t="s">
        <v>12</v>
      </c>
      <c r="AG13" s="24" t="str">
        <f t="shared" si="7"/>
        <v>OFF</v>
      </c>
      <c r="AH13" s="24" t="str">
        <f t="shared" si="7"/>
        <v>OFF</v>
      </c>
      <c r="AI13" s="24" t="str">
        <f t="shared" si="7"/>
        <v>15:00</v>
      </c>
      <c r="AJ13" s="24" t="str">
        <f t="shared" si="7"/>
        <v>15:00</v>
      </c>
      <c r="AK13" s="24" t="s">
        <v>12</v>
      </c>
      <c r="AL13" s="24" t="str">
        <f t="shared" si="7"/>
        <v>15:00</v>
      </c>
      <c r="AM13" s="24" t="str">
        <f t="shared" si="7"/>
        <v>15:00</v>
      </c>
    </row>
    <row r="14" spans="1:39" ht="16.5" customHeight="1">
      <c r="A14" s="73"/>
      <c r="B14" s="75"/>
      <c r="C14" s="76"/>
      <c r="D14" s="78"/>
      <c r="E14" s="72" t="s">
        <v>15</v>
      </c>
      <c r="F14" s="72"/>
      <c r="G14" s="72"/>
      <c r="H14" s="72"/>
      <c r="I14" s="72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ht="16.5" customHeight="1">
      <c r="A15" s="73" t="s">
        <v>34</v>
      </c>
      <c r="B15" s="74" t="s">
        <v>29</v>
      </c>
      <c r="C15" s="76" t="s">
        <v>35</v>
      </c>
      <c r="D15" s="78"/>
      <c r="E15" s="32" cm="1">
        <f t="array" ref="E15">SUMPRODUCT(COUNTIF(J15:AM15, {"*00:00*","*09:00*","*12:00*","*08:00*","*11:00*","*15:00*","*13:00*"}))+(COUNTIF(J15:AM15,{"*Half"})*0.5)</f>
        <v>20</v>
      </c>
      <c r="F15" s="33" cm="1">
        <f t="array" ref="F15">SUMPRODUCT(ISNUMBER(FIND("OFF",J15:AM15))*1)</f>
        <v>10</v>
      </c>
      <c r="G15" s="32">
        <f xml:space="preserve"> (COUNTIF(J15:AM15,"PTO")*1
   + COUNTIF(J15:AM15,"Half-PTO")*0.5+ + COUNTIF(J15:AM15,"PTO-Half")*0.5)</f>
        <v>0</v>
      </c>
      <c r="H15" s="32">
        <f xml:space="preserve"> (COUNTIF(J15:AM15,"AL")*1
   + COUNTIF(J15:AM15,"Half-AL")*0.5+ + COUNTIF(J15:AM15,"AL-Half")*0.5)</f>
        <v>0</v>
      </c>
      <c r="I15" s="33" cm="1">
        <f t="array" ref="I15">SUMPRODUCT(ISNUMBER(FIND("LOA",J15:AM15))*1)</f>
        <v>0</v>
      </c>
      <c r="J15" s="24" t="str">
        <f t="shared" ref="J15:AL15" si="8">IF(
  OR(
    AND($C$15="日一", OR(J$1="Sun", J$1="Mon")),AND($C$15="六日", OR(J$1="Sun", J$1="Sat")),
    AND($C$15="五六", OR(J$1="Fri", J$1="Sat")),AND($C$15="四五", OR(J$1="Fri", J$1="Thu")),
    AND($C$15="三四", OR(J$1="Wed", J$1="Thu")),AND($C$15="二三", OR(J$1="Tue", J$1="Wed")),
  ),
  "OFF",
  "15:00"
)</f>
        <v>15:00</v>
      </c>
      <c r="K15" s="24" t="str">
        <f t="shared" si="8"/>
        <v>15:00</v>
      </c>
      <c r="L15" s="24" t="s">
        <v>12</v>
      </c>
      <c r="M15" s="24" t="str">
        <f t="shared" si="8"/>
        <v>15:00</v>
      </c>
      <c r="N15" s="24" t="s">
        <v>33</v>
      </c>
      <c r="O15" s="24" t="str">
        <f t="shared" si="8"/>
        <v>OFF</v>
      </c>
      <c r="P15" s="24" t="s">
        <v>12</v>
      </c>
      <c r="Q15" s="24" t="str">
        <f t="shared" si="8"/>
        <v>15:00</v>
      </c>
      <c r="R15" s="24" t="str">
        <f t="shared" si="8"/>
        <v>15:00</v>
      </c>
      <c r="S15" s="24" t="str">
        <f t="shared" si="8"/>
        <v>15:00</v>
      </c>
      <c r="T15" s="24" t="str">
        <f t="shared" si="8"/>
        <v>15:00</v>
      </c>
      <c r="U15" s="24" t="str">
        <f t="shared" si="8"/>
        <v>OFF</v>
      </c>
      <c r="V15" s="24" t="str">
        <f t="shared" si="8"/>
        <v>OFF</v>
      </c>
      <c r="W15" s="24" t="str">
        <f t="shared" si="8"/>
        <v>15:00</v>
      </c>
      <c r="X15" s="24" t="str">
        <f t="shared" si="8"/>
        <v>15:00</v>
      </c>
      <c r="Y15" s="24" t="str">
        <f t="shared" si="8"/>
        <v>15:00</v>
      </c>
      <c r="Z15" s="24" t="str">
        <f t="shared" si="8"/>
        <v>15:00</v>
      </c>
      <c r="AA15" s="24" t="str">
        <f t="shared" si="8"/>
        <v>15:00</v>
      </c>
      <c r="AB15" s="24" t="str">
        <f t="shared" si="8"/>
        <v>OFF</v>
      </c>
      <c r="AC15" s="24" t="str">
        <f t="shared" si="8"/>
        <v>OFF</v>
      </c>
      <c r="AD15" s="24" t="str">
        <f t="shared" si="8"/>
        <v>15:00</v>
      </c>
      <c r="AE15" s="24" t="str">
        <f t="shared" si="8"/>
        <v>15:00</v>
      </c>
      <c r="AF15" s="24" t="str">
        <f t="shared" si="8"/>
        <v>15:00</v>
      </c>
      <c r="AG15" s="24" t="str">
        <f t="shared" si="8"/>
        <v>15:00</v>
      </c>
      <c r="AH15" s="24" t="str">
        <f t="shared" si="8"/>
        <v>15:00</v>
      </c>
      <c r="AI15" s="24" t="str">
        <f t="shared" si="8"/>
        <v>OFF</v>
      </c>
      <c r="AJ15" s="24" t="str">
        <f t="shared" si="8"/>
        <v>OFF</v>
      </c>
      <c r="AK15" s="24" t="str">
        <f t="shared" si="8"/>
        <v>15:00</v>
      </c>
      <c r="AL15" s="24" t="str">
        <f t="shared" si="8"/>
        <v>15:00</v>
      </c>
      <c r="AM15" s="24" t="s">
        <v>12</v>
      </c>
    </row>
    <row r="16" spans="1:39" ht="14.45">
      <c r="A16" s="73"/>
      <c r="B16" s="75"/>
      <c r="C16" s="76"/>
      <c r="D16" s="79"/>
      <c r="E16" s="72" t="s">
        <v>15</v>
      </c>
      <c r="F16" s="72"/>
      <c r="G16" s="72"/>
      <c r="H16" s="72"/>
      <c r="I16" s="72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pans="1:39" ht="17.45">
      <c r="A17" s="59" t="s">
        <v>36</v>
      </c>
      <c r="B17" s="60" t="s">
        <v>37</v>
      </c>
      <c r="C17" s="60" t="s">
        <v>38</v>
      </c>
      <c r="D17" s="61">
        <v>0.70833333333333337</v>
      </c>
      <c r="E17" s="62" cm="1">
        <f t="array" ref="E17">SUMPRODUCT(COUNTIF(J17:AM17, {"*00:00*","*09:00*","*12:00*","*08:00*","*11:00*","*15:00*","*13:00*"}))+(COUNTIF(J17:AM17,{"*Half"})*0.5)</f>
        <v>19</v>
      </c>
      <c r="F17" s="63" cm="1">
        <f t="array" ref="F17">SUMPRODUCT(ISNUMBER(FIND("OFF",J17:AM17))*1)</f>
        <v>10</v>
      </c>
      <c r="G17" s="62">
        <f xml:space="preserve"> (COUNTIF(J17:AM17,"PTO")*1
   + COUNTIF(J17:AM17,"Half-PTO")*0.5+ + COUNTIF(J17:AM17,"PTO-Half")*0.5)</f>
        <v>1</v>
      </c>
      <c r="H17" s="62">
        <f xml:space="preserve"> (COUNTIF(J17:AM17,"AL")*1
   + COUNTIF(J17:AM17,"Half-AL")*0.5+ + COUNTIF(J17:AM17,"AL-Half")*0.5)</f>
        <v>0</v>
      </c>
      <c r="I17" s="63" cm="1">
        <f t="array" ref="I17">SUMPRODUCT(ISNUMBER(FIND("LOA",J17:AM17))*1)</f>
        <v>0</v>
      </c>
      <c r="J17" s="64" t="str">
        <f>IF(
    OR( AND($C$17="日一", OR(J$1="Sun", J$1="Mon")),
        AND($C$17="六日", OR(J$1="Sun", J$1="Sat")),         ),
    "OFF",
    IF(OR(J$1="Sun", J$1="Sat"), "08:00", "12:00")
)</f>
        <v>OFF</v>
      </c>
      <c r="K17" s="64" t="str">
        <f>IF(
    OR( AND($C$17="日一", OR(K$1="Sun", K$1="Mon")),
        AND($C$17="六日", OR(K$1="Sun", K$1="Sat")),         ),
    "OFF",
    IF(OR(K$1="Sun", K$1="Sat"), "08:00", "12:00")
)</f>
        <v>12:00</v>
      </c>
      <c r="L17" s="64" t="str">
        <f>IF(
    OR( AND($C$17="日一", OR(L$1="Sun", L$1="Mon")),
        AND($C$17="六日", OR(L$1="Sun", L$1="Sat")),         ),
    "OFF",
    IF(OR(L$1="Sun", L$1="Sat"), "08:00", "12:00")
)</f>
        <v>12:00</v>
      </c>
      <c r="M17" s="64" t="str">
        <f>IF(
    OR( AND($C$17="日一", OR(M$1="Sun", M$1="Mon")),
        AND($C$17="六日", OR(M$1="Sun", M$1="Sat")),         ),
    "OFF",
    IF(OR(M$1="Sun", M$1="Sat"), "08:00", "12:00")
)</f>
        <v>12:00</v>
      </c>
      <c r="N17" s="64" t="str">
        <f>IF(
    OR( AND($C$17="日一", OR(N$1="Sun", N$1="Mon")),
        AND($C$17="六日", OR(N$1="Sun", N$1="Sat")),         ),
    "OFF",
    IF(OR(N$1="Sun", N$1="Sat"), "08:00", "12:00")
)</f>
        <v>12:00</v>
      </c>
      <c r="O17" s="65" t="s">
        <v>39</v>
      </c>
      <c r="P17" s="64" t="str">
        <f>IF(
    OR( AND($C$17="日一", OR(P$1="Sun", P$1="Mon")),
        AND($C$17="六日", OR(P$1="Sun", P$1="Sat")),         ),
    "OFF",
    IF(OR(P$1="Sun", P$1="Sat"), "08:00", "12:00")
)</f>
        <v>OFF</v>
      </c>
      <c r="Q17" s="64" t="str">
        <f>IF(
    OR( AND($C$17="日一", OR(Q$1="Sun", Q$1="Mon")),
        AND($C$17="六日", OR(Q$1="Sun", Q$1="Sat")),         ),
    "OFF",
    IF(OR(Q$1="Sun", Q$1="Sat"), "08:00", "12:00")
)</f>
        <v>OFF</v>
      </c>
      <c r="R17" s="64" t="s">
        <v>12</v>
      </c>
      <c r="S17" s="64" t="str">
        <f>IF(
    OR( AND($C$17="日一", OR(S$1="Sun", S$1="Mon")),
        AND($C$17="六日", OR(S$1="Sun", S$1="Sat")),         ),
    "OFF",
    IF(OR(S$1="Sun", S$1="Sat"), "08:00", "12:00")
)</f>
        <v>12:00</v>
      </c>
      <c r="T17" s="64" t="str">
        <f>IF(
    OR( AND($C$17="日一", OR(T$1="Sun", T$1="Mon")),
        AND($C$17="六日", OR(T$1="Sun", T$1="Sat")),         ),
    "OFF",
    IF(OR(T$1="Sun", T$1="Sat"), "08:00", "12:00")
)</f>
        <v>12:00</v>
      </c>
      <c r="U17" s="64" t="str">
        <f>IF(
    OR( AND($C$17="日一", OR(U$1="Sun", U$1="Mon")),
        AND($C$17="六日", OR(U$1="Sun", U$1="Sat")),         ),
    "OFF",
    IF(OR(U$1="Sun", U$1="Sat"), "08:00", "12:00")
)</f>
        <v>12:00</v>
      </c>
      <c r="V17" s="65" t="s">
        <v>39</v>
      </c>
      <c r="W17" s="64" t="str">
        <f t="shared" ref="W17:AM17" si="9">IF(
    OR( AND($C$17="日一", OR(W$1="Sun", W$1="Mon")),
        AND($C$17="六日", OR(W$1="Sun", W$1="Sat")),         ),
    "OFF",
    IF(OR(W$1="Sun", W$1="Sat"), "08:00", "12:00")
)</f>
        <v>OFF</v>
      </c>
      <c r="X17" s="64" t="str">
        <f t="shared" si="9"/>
        <v>OFF</v>
      </c>
      <c r="Y17" s="64" t="str">
        <f t="shared" si="9"/>
        <v>12:00</v>
      </c>
      <c r="Z17" s="64" t="str">
        <f t="shared" si="9"/>
        <v>12:00</v>
      </c>
      <c r="AA17" s="64" t="str">
        <f t="shared" si="9"/>
        <v>12:00</v>
      </c>
      <c r="AB17" s="64" t="str">
        <f t="shared" si="9"/>
        <v>12:00</v>
      </c>
      <c r="AC17" s="64" t="str">
        <f t="shared" si="9"/>
        <v>08:00</v>
      </c>
      <c r="AD17" s="64" t="str">
        <f t="shared" si="9"/>
        <v>OFF</v>
      </c>
      <c r="AE17" s="64" t="str">
        <f t="shared" si="9"/>
        <v>OFF</v>
      </c>
      <c r="AF17" s="64" t="str">
        <f t="shared" si="9"/>
        <v>12:00</v>
      </c>
      <c r="AG17" s="64" t="str">
        <f t="shared" si="9"/>
        <v>12:00</v>
      </c>
      <c r="AH17" s="64" t="str">
        <f t="shared" si="9"/>
        <v>12:00</v>
      </c>
      <c r="AI17" s="64" t="str">
        <f t="shared" si="9"/>
        <v>12:00</v>
      </c>
      <c r="AJ17" s="64" t="str">
        <f t="shared" si="9"/>
        <v>08:00</v>
      </c>
      <c r="AK17" s="64" t="str">
        <f t="shared" si="9"/>
        <v>OFF</v>
      </c>
      <c r="AL17" s="64" t="str">
        <f t="shared" si="9"/>
        <v>OFF</v>
      </c>
      <c r="AM17" s="64" t="str">
        <f t="shared" si="9"/>
        <v>12:00</v>
      </c>
    </row>
    <row r="18" spans="1:39" ht="17.45">
      <c r="A18" s="59" t="s">
        <v>40</v>
      </c>
      <c r="B18" s="60" t="s">
        <v>37</v>
      </c>
      <c r="C18" s="60" t="s">
        <v>41</v>
      </c>
      <c r="D18" s="61">
        <v>0.66666666666666663</v>
      </c>
      <c r="E18" s="62" cm="1">
        <f t="array" ref="E18">SUMPRODUCT(COUNTIF(J18:AM18, {"*00:00*","*09:00*","*12:00*","*08:00*","*11:00*","*15:00*","*13:00*"}))+(COUNTIF(J18:AM18,{"*Half"})*0.5)</f>
        <v>20</v>
      </c>
      <c r="F18" s="63" cm="1">
        <f t="array" ref="F18">SUMPRODUCT(ISNUMBER(FIND("OFF",J18:AM18))*1)</f>
        <v>10</v>
      </c>
      <c r="G18" s="62">
        <f xml:space="preserve"> (COUNTIF(J18:AM18,"PTO")*1
   + COUNTIF(J18:AM18,"Half-PTO")*0.5+ + COUNTIF(J18:AM18,"PTO-Half")*0.5)</f>
        <v>0</v>
      </c>
      <c r="H18" s="62">
        <f xml:space="preserve"> (COUNTIF(J18:AM18,"AL")*1
   + COUNTIF(J18:AM18,"Half-AL")*0.5+ + COUNTIF(J18:AM18,"AL-Half")*0.5)</f>
        <v>0</v>
      </c>
      <c r="I18" s="63" cm="1">
        <f t="array" ref="I18">SUMPRODUCT(ISNUMBER(FIND("LOA",J18:AM18))*1)</f>
        <v>0</v>
      </c>
      <c r="J18" s="66" t="str">
        <f>IF(  OR(    AND($C$18="六日", OR(J$1="Sun", J$1="Sat"))  ),
  "OFF",  "12:00")</f>
        <v>12:00</v>
      </c>
      <c r="K18" s="66" t="str">
        <f>IF(  OR(    AND($C$18="六日", OR(K$1="Sun", K$1="Sat"))  ),
  "OFF",  "12:00")</f>
        <v>12:00</v>
      </c>
      <c r="L18" s="66" t="str">
        <f>IF(  OR(    AND($C$18="六日", OR(L$1="Sun", L$1="Sat"))  ),
  "OFF",  "12:00")</f>
        <v>12:00</v>
      </c>
      <c r="M18" s="66" t="str">
        <f>IF(  OR(    AND($C$18="六日", OR(M$1="Sun", M$1="Sat"))  ),
  "OFF",  "12:00")</f>
        <v>12:00</v>
      </c>
      <c r="N18" s="66" t="s">
        <v>12</v>
      </c>
      <c r="O18" s="66" t="str">
        <f t="shared" ref="O18:AH18" si="10">IF(  OR(    AND($C$18="六日", OR(O$1="Sun", O$1="Sat"))  ),
  "OFF",  "12:00")</f>
        <v>OFF</v>
      </c>
      <c r="P18" s="66" t="str">
        <f t="shared" si="10"/>
        <v>OFF</v>
      </c>
      <c r="Q18" s="66" t="str">
        <f t="shared" si="10"/>
        <v>12:00</v>
      </c>
      <c r="R18" s="66" t="str">
        <f t="shared" si="10"/>
        <v>12:00</v>
      </c>
      <c r="S18" s="66" t="str">
        <f t="shared" si="10"/>
        <v>12:00</v>
      </c>
      <c r="T18" s="66" t="str">
        <f t="shared" si="10"/>
        <v>12:00</v>
      </c>
      <c r="U18" s="66" t="str">
        <f t="shared" si="10"/>
        <v>12:00</v>
      </c>
      <c r="V18" s="66" t="str">
        <f t="shared" si="10"/>
        <v>OFF</v>
      </c>
      <c r="W18" s="66" t="str">
        <f t="shared" si="10"/>
        <v>OFF</v>
      </c>
      <c r="X18" s="66" t="str">
        <f t="shared" si="10"/>
        <v>12:00</v>
      </c>
      <c r="Y18" s="66" t="str">
        <f t="shared" si="10"/>
        <v>12:00</v>
      </c>
      <c r="Z18" s="66" t="str">
        <f t="shared" si="10"/>
        <v>12:00</v>
      </c>
      <c r="AA18" s="66" t="str">
        <f t="shared" si="10"/>
        <v>12:00</v>
      </c>
      <c r="AB18" s="66" t="str">
        <f t="shared" si="10"/>
        <v>12:00</v>
      </c>
      <c r="AC18" s="66" t="str">
        <f t="shared" si="10"/>
        <v>OFF</v>
      </c>
      <c r="AD18" s="66" t="str">
        <f t="shared" si="10"/>
        <v>OFF</v>
      </c>
      <c r="AE18" s="66" t="str">
        <f t="shared" si="10"/>
        <v>12:00</v>
      </c>
      <c r="AF18" s="66" t="str">
        <f t="shared" si="10"/>
        <v>12:00</v>
      </c>
      <c r="AG18" s="66" t="str">
        <f t="shared" si="10"/>
        <v>12:00</v>
      </c>
      <c r="AH18" s="66" t="str">
        <f t="shared" si="10"/>
        <v>12:00</v>
      </c>
      <c r="AI18" s="66" t="s">
        <v>4</v>
      </c>
      <c r="AJ18" s="66" t="str">
        <f>IF(  OR(    AND($C$18="六日", OR(AJ$1="Sun", AJ$1="Sat"))  ),
  "OFF",  "12:00")</f>
        <v>OFF</v>
      </c>
      <c r="AK18" s="66" t="str">
        <f>IF(  OR(    AND($C$18="六日", OR(AK$1="Sun", AK$1="Sat"))  ),
  "OFF",  "12:00")</f>
        <v>OFF</v>
      </c>
      <c r="AL18" s="66" t="str">
        <f>IF(  OR(    AND($C$18="六日", OR(AL$1="Sun", AL$1="Sat"))  ),
  "OFF",  "12:00")</f>
        <v>12:00</v>
      </c>
      <c r="AM18" s="66" t="str">
        <f>IF(  OR(    AND($C$18="六日", OR(AM$1="Sun", AM$1="Sat"))  ),
  "OFF",  "12:00")</f>
        <v>12:00</v>
      </c>
    </row>
    <row r="19" spans="1:39" ht="17.45">
      <c r="F19" s="11"/>
      <c r="I19" s="9"/>
    </row>
    <row r="20" spans="1:39" ht="16.5" customHeight="1">
      <c r="I20" s="9"/>
    </row>
    <row r="21" spans="1:39" ht="16.5" customHeight="1">
      <c r="I21" s="9"/>
    </row>
    <row r="24" spans="1:39" ht="16.5" customHeight="1">
      <c r="Y24" s="22"/>
      <c r="Z24" s="22"/>
    </row>
  </sheetData>
  <sheetProtection algorithmName="SHA-512" hashValue="He9tsqSHa07ZWL3/uKOvF+QJPp9T3FYfguup2BYMGgWJJ1MPyFo1Yj98qYvnsPjOiMqeAmWHdsQ0Gs62ws75sg==" saltValue="oMEwUni2arP/nDlg0Q6PvQ==" spinCount="100000" sheet="1" objects="1" scenarios="1"/>
  <dataConsolidate/>
  <mergeCells count="38">
    <mergeCell ref="A1:A2"/>
    <mergeCell ref="D1:D2"/>
    <mergeCell ref="E1:E2"/>
    <mergeCell ref="F1:F2"/>
    <mergeCell ref="G1:G2"/>
    <mergeCell ref="D3:D6"/>
    <mergeCell ref="E6:I6"/>
    <mergeCell ref="I1:I2"/>
    <mergeCell ref="H1:H2"/>
    <mergeCell ref="E4:I4"/>
    <mergeCell ref="A5:A6"/>
    <mergeCell ref="B5:B6"/>
    <mergeCell ref="C5:C6"/>
    <mergeCell ref="A3:A4"/>
    <mergeCell ref="B3:B4"/>
    <mergeCell ref="C3:C4"/>
    <mergeCell ref="E8:I8"/>
    <mergeCell ref="A9:A10"/>
    <mergeCell ref="B9:B10"/>
    <mergeCell ref="C9:C10"/>
    <mergeCell ref="A7:A8"/>
    <mergeCell ref="B7:B8"/>
    <mergeCell ref="C7:C8"/>
    <mergeCell ref="D7:D10"/>
    <mergeCell ref="E10:I10"/>
    <mergeCell ref="E12:I12"/>
    <mergeCell ref="E16:I16"/>
    <mergeCell ref="E14:I14"/>
    <mergeCell ref="A11:A12"/>
    <mergeCell ref="B11:B12"/>
    <mergeCell ref="C11:C12"/>
    <mergeCell ref="D11:D16"/>
    <mergeCell ref="A13:A14"/>
    <mergeCell ref="B13:B14"/>
    <mergeCell ref="C13:C14"/>
    <mergeCell ref="A15:A16"/>
    <mergeCell ref="B15:B16"/>
    <mergeCell ref="C15:C16"/>
  </mergeCells>
  <phoneticPr fontId="9" type="noConversion"/>
  <conditionalFormatting sqref="D11">
    <cfRule type="containsText" dxfId="30" priority="113" operator="containsText" text="上課">
      <formula>NOT(ISERROR(SEARCH("上課",D11)))</formula>
    </cfRule>
  </conditionalFormatting>
  <conditionalFormatting sqref="F3 F5 F7 F9 F11 F13 F15">
    <cfRule type="cellIs" dxfId="29" priority="114" operator="notEqual">
      <formula>$C$2</formula>
    </cfRule>
  </conditionalFormatting>
  <conditionalFormatting sqref="F17:F18">
    <cfRule type="cellIs" dxfId="28" priority="44" operator="notEqual">
      <formula>$C$2</formula>
    </cfRule>
  </conditionalFormatting>
  <conditionalFormatting sqref="J3:AM3 J5:AM5 J7:AM7 J9:AM9 J11:AM11 J13:AM13 J15:AM15">
    <cfRule type="cellIs" dxfId="27" priority="103" operator="equal">
      <formula>"12:00"</formula>
    </cfRule>
  </conditionalFormatting>
  <conditionalFormatting sqref="J3:AM16">
    <cfRule type="cellIs" dxfId="26" priority="109" operator="equal">
      <formula>"11:00"</formula>
    </cfRule>
    <cfRule type="cellIs" dxfId="25" priority="110" operator="equal">
      <formula>"15:00"</formula>
    </cfRule>
    <cfRule type="cellIs" dxfId="24" priority="111" operator="equal">
      <formula>"08:00"</formula>
    </cfRule>
  </conditionalFormatting>
  <conditionalFormatting sqref="J3:AM18">
    <cfRule type="cellIs" dxfId="23" priority="29" operator="equal">
      <formula>"LOA"</formula>
    </cfRule>
    <cfRule type="cellIs" dxfId="22" priority="30" operator="equal">
      <formula>"AL"</formula>
    </cfRule>
    <cfRule type="cellIs" dxfId="21" priority="31" operator="equal">
      <formula>"SL"</formula>
    </cfRule>
    <cfRule type="cellIs" dxfId="20" priority="32" operator="equal">
      <formula>"PTO"</formula>
    </cfRule>
    <cfRule type="cellIs" dxfId="19" priority="33" operator="equal">
      <formula>"OFF"</formula>
    </cfRule>
  </conditionalFormatting>
  <conditionalFormatting sqref="J18:AM18">
    <cfRule type="cellIs" dxfId="18" priority="40" operator="equal">
      <formula>"12:00"</formula>
    </cfRule>
    <cfRule type="cellIs" dxfId="17" priority="41" operator="equal">
      <formula>"11:00"</formula>
    </cfRule>
    <cfRule type="cellIs" dxfId="16" priority="42" operator="equal">
      <formula>"15:00"</formula>
    </cfRule>
    <cfRule type="cellIs" dxfId="15" priority="43" operator="equal">
      <formula>"08:00"</formula>
    </cfRule>
  </conditionalFormatting>
  <conditionalFormatting sqref="O17">
    <cfRule type="cellIs" dxfId="14" priority="28" operator="equal">
      <formula>"12:00"</formula>
    </cfRule>
    <cfRule type="cellIs" dxfId="13" priority="34" operator="equal">
      <formula>"11:00"</formula>
    </cfRule>
    <cfRule type="cellIs" dxfId="12" priority="35" operator="equal">
      <formula>"15:00"</formula>
    </cfRule>
    <cfRule type="cellIs" dxfId="11" priority="36" operator="equal">
      <formula>"08:00"</formula>
    </cfRule>
  </conditionalFormatting>
  <conditionalFormatting sqref="V17">
    <cfRule type="cellIs" dxfId="10" priority="20" operator="equal">
      <formula>"12:00"</formula>
    </cfRule>
    <cfRule type="cellIs" dxfId="9" priority="21" operator="equal">
      <formula>"11:00"</formula>
    </cfRule>
    <cfRule type="cellIs" dxfId="8" priority="22" operator="equal">
      <formula>"15:00"</formula>
    </cfRule>
    <cfRule type="cellIs" dxfId="7" priority="23" operator="equal">
      <formula>"08:00"</formula>
    </cfRule>
  </conditionalFormatting>
  <conditionalFormatting sqref="AA17">
    <cfRule type="cellIs" dxfId="6" priority="24" operator="equal">
      <formula>"12:00"</formula>
    </cfRule>
    <cfRule type="cellIs" dxfId="5" priority="25" operator="equal">
      <formula>"11:00"</formula>
    </cfRule>
    <cfRule type="cellIs" dxfId="4" priority="26" operator="equal">
      <formula>"15:00"</formula>
    </cfRule>
    <cfRule type="cellIs" dxfId="3" priority="27" operator="equal">
      <formula>"08:00"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6" id="{8F28D3F1-8ED3-44C9-82F2-FFE8B064DB3E}">
            <xm:f>OR(COUNTIF(國定假日!$A:$A, J$2)&gt;0, J$1="Sat", J$1="Sun")</xm:f>
            <x14:dxf>
              <font>
                <color rgb="FFFF0000"/>
              </font>
            </x14:dxf>
          </x14:cfRule>
          <xm:sqref>J1:AM2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8BB2C7-EBAB-4095-918D-540B58D9D292}">
          <x14:formula1>
            <xm:f>List!$A$2:$A$8</xm:f>
          </x14:formula1>
          <xm:sqref>A3:A16</xm:sqref>
        </x14:dataValidation>
        <x14:dataValidation type="list" allowBlank="1" showInputMessage="1" showErrorMessage="1" xr:uid="{1566C317-C228-4ADF-BFF3-DC190D39EC3C}">
          <x14:formula1>
            <xm:f>List!$B$5:$B$7</xm:f>
          </x14:formula1>
          <xm:sqref>K3:K16 O3:P16 R3:R16 V3:X16 AC3:AF16 AJ3:AJ16 AL3:AL16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K23" sqref="K23"/>
    </sheetView>
  </sheetViews>
  <sheetFormatPr defaultColWidth="9.140625" defaultRowHeight="18"/>
  <cols>
    <col min="1" max="1" width="18.28515625" style="6" bestFit="1" customWidth="1"/>
    <col min="2" max="2" width="8" style="8" customWidth="1"/>
    <col min="3" max="3" width="8.28515625" style="8" customWidth="1"/>
    <col min="4" max="17" width="9.140625" style="6"/>
    <col min="18" max="18" width="9.140625" style="6" hidden="1" customWidth="1"/>
    <col min="19" max="19" width="11.140625" style="6" hidden="1" customWidth="1"/>
    <col min="20" max="16384" width="9.140625" style="6"/>
  </cols>
  <sheetData>
    <row r="1" spans="1:20" ht="19.899999999999999">
      <c r="A1" s="21" t="s">
        <v>42</v>
      </c>
      <c r="B1" s="21" t="s">
        <v>14</v>
      </c>
      <c r="C1" s="21" t="s">
        <v>6</v>
      </c>
      <c r="D1" s="12" t="s">
        <v>43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55</v>
      </c>
      <c r="Q1" s="14" t="s">
        <v>56</v>
      </c>
      <c r="R1" s="12" t="s">
        <v>14</v>
      </c>
      <c r="S1" s="12" t="s">
        <v>6</v>
      </c>
      <c r="T1" s="14" t="s">
        <v>57</v>
      </c>
    </row>
    <row r="2" spans="1:20">
      <c r="A2" s="15" t="s">
        <v>32</v>
      </c>
      <c r="B2" s="15">
        <v>14.5</v>
      </c>
      <c r="C2" s="15">
        <v>6</v>
      </c>
      <c r="D2" s="15">
        <f t="shared" ref="D2:D10" si="0">B2+C2</f>
        <v>20.5</v>
      </c>
      <c r="E2" s="15">
        <v>1</v>
      </c>
      <c r="F2" s="15"/>
      <c r="G2" s="15"/>
      <c r="H2" s="15">
        <v>2</v>
      </c>
      <c r="I2" s="15">
        <v>1.5</v>
      </c>
      <c r="J2" s="15">
        <v>1</v>
      </c>
      <c r="K2" s="15"/>
      <c r="L2" s="15"/>
      <c r="M2" s="15"/>
      <c r="N2" s="15"/>
      <c r="O2" s="15"/>
      <c r="P2" s="15"/>
      <c r="Q2" s="15">
        <f t="shared" ref="Q2:Q10" si="1">SUM(E2:P2)</f>
        <v>5.5</v>
      </c>
      <c r="R2" s="15">
        <f>IF(T2 &lt;= C2, 0, MIN(B2, T2 - C2))</f>
        <v>9</v>
      </c>
      <c r="S2" s="15">
        <f t="shared" ref="S2:S10" si="2">IF(T2 &lt;= C2, T2, C2)</f>
        <v>6</v>
      </c>
      <c r="T2" s="15">
        <f t="shared" ref="T2:T10" si="3">D2-Q2</f>
        <v>15</v>
      </c>
    </row>
    <row r="3" spans="1:20">
      <c r="A3" s="7" t="s">
        <v>8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>
        <v>3</v>
      </c>
      <c r="H3" s="7"/>
      <c r="I3" s="7">
        <v>1</v>
      </c>
      <c r="J3" s="7">
        <v>3</v>
      </c>
      <c r="K3" s="7"/>
      <c r="L3" s="7"/>
      <c r="M3" s="7"/>
      <c r="N3" s="7"/>
      <c r="O3" s="7"/>
      <c r="P3" s="7"/>
      <c r="Q3" s="15">
        <f t="shared" si="1"/>
        <v>9</v>
      </c>
      <c r="R3" s="7">
        <f t="shared" ref="R3:R10" si="4">IF(T3 &lt;= C3, 0, MIN(B3, T3 - C3))</f>
        <v>6</v>
      </c>
      <c r="S3" s="7">
        <f t="shared" si="2"/>
        <v>6</v>
      </c>
      <c r="T3" s="7">
        <f t="shared" si="3"/>
        <v>12</v>
      </c>
    </row>
    <row r="4" spans="1:20">
      <c r="A4" s="15" t="s">
        <v>22</v>
      </c>
      <c r="B4" s="15">
        <v>14.5</v>
      </c>
      <c r="C4" s="15">
        <v>6</v>
      </c>
      <c r="D4" s="15">
        <f t="shared" si="0"/>
        <v>20.5</v>
      </c>
      <c r="E4" s="15"/>
      <c r="F4" s="15"/>
      <c r="G4" s="15">
        <v>4</v>
      </c>
      <c r="H4" s="15"/>
      <c r="I4" s="15">
        <v>3</v>
      </c>
      <c r="J4" s="15">
        <v>0.5</v>
      </c>
      <c r="K4" s="15"/>
      <c r="L4" s="15"/>
      <c r="M4" s="15"/>
      <c r="N4" s="15"/>
      <c r="O4" s="15"/>
      <c r="P4" s="15"/>
      <c r="Q4" s="15">
        <f t="shared" si="1"/>
        <v>7.5</v>
      </c>
      <c r="R4" s="15">
        <f t="shared" si="4"/>
        <v>7</v>
      </c>
      <c r="S4" s="15">
        <f t="shared" si="2"/>
        <v>6</v>
      </c>
      <c r="T4" s="15">
        <f t="shared" si="3"/>
        <v>13</v>
      </c>
    </row>
    <row r="5" spans="1:20">
      <c r="A5" s="7" t="s">
        <v>28</v>
      </c>
      <c r="B5" s="7">
        <v>14</v>
      </c>
      <c r="C5" s="7">
        <v>6</v>
      </c>
      <c r="D5" s="7">
        <f t="shared" si="0"/>
        <v>20</v>
      </c>
      <c r="E5" s="7"/>
      <c r="F5" s="7">
        <v>3</v>
      </c>
      <c r="G5" s="7">
        <v>1</v>
      </c>
      <c r="H5" s="7"/>
      <c r="I5" s="7">
        <v>2</v>
      </c>
      <c r="J5" s="7">
        <v>1</v>
      </c>
      <c r="K5" s="7"/>
      <c r="L5" s="7"/>
      <c r="M5" s="7"/>
      <c r="N5" s="7"/>
      <c r="O5" s="7"/>
      <c r="P5" s="7"/>
      <c r="Q5" s="15">
        <f t="shared" si="1"/>
        <v>7</v>
      </c>
      <c r="R5" s="7">
        <f t="shared" si="4"/>
        <v>7</v>
      </c>
      <c r="S5" s="7">
        <f t="shared" si="2"/>
        <v>6</v>
      </c>
      <c r="T5" s="7">
        <f t="shared" si="3"/>
        <v>13</v>
      </c>
    </row>
    <row r="6" spans="1:20">
      <c r="A6" s="15" t="s">
        <v>18</v>
      </c>
      <c r="B6" s="15">
        <v>16</v>
      </c>
      <c r="C6" s="15">
        <v>6</v>
      </c>
      <c r="D6" s="15">
        <f t="shared" si="0"/>
        <v>22</v>
      </c>
      <c r="E6" s="15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>
        <f t="shared" si="1"/>
        <v>1</v>
      </c>
      <c r="R6" s="15">
        <f t="shared" si="4"/>
        <v>15</v>
      </c>
      <c r="S6" s="15">
        <f t="shared" si="2"/>
        <v>6</v>
      </c>
      <c r="T6" s="15">
        <f t="shared" si="3"/>
        <v>21</v>
      </c>
    </row>
    <row r="7" spans="1:20">
      <c r="A7" s="7" t="s">
        <v>26</v>
      </c>
      <c r="B7" s="7">
        <v>8.5</v>
      </c>
      <c r="C7" s="7">
        <v>6</v>
      </c>
      <c r="D7" s="7">
        <f t="shared" si="0"/>
        <v>14.5</v>
      </c>
      <c r="E7" s="7"/>
      <c r="F7" s="7">
        <v>1</v>
      </c>
      <c r="G7" s="7"/>
      <c r="H7" s="7">
        <v>1</v>
      </c>
      <c r="I7" s="7">
        <v>2</v>
      </c>
      <c r="J7" s="7">
        <v>2</v>
      </c>
      <c r="K7" s="7"/>
      <c r="L7" s="7"/>
      <c r="M7" s="7"/>
      <c r="N7" s="7"/>
      <c r="O7" s="7"/>
      <c r="P7" s="7"/>
      <c r="Q7" s="15">
        <f t="shared" si="1"/>
        <v>6</v>
      </c>
      <c r="R7" s="7">
        <f t="shared" si="4"/>
        <v>2.5</v>
      </c>
      <c r="S7" s="7">
        <f t="shared" si="2"/>
        <v>6</v>
      </c>
      <c r="T7" s="7">
        <f t="shared" si="3"/>
        <v>8.5</v>
      </c>
    </row>
    <row r="8" spans="1:20">
      <c r="A8" s="15" t="s">
        <v>40</v>
      </c>
      <c r="B8" s="15">
        <v>16</v>
      </c>
      <c r="C8" s="15">
        <v>6</v>
      </c>
      <c r="D8" s="15">
        <f t="shared" si="0"/>
        <v>22</v>
      </c>
      <c r="E8" s="15">
        <v>1</v>
      </c>
      <c r="F8" s="15">
        <v>2</v>
      </c>
      <c r="G8" s="15"/>
      <c r="H8" s="15">
        <v>2</v>
      </c>
      <c r="I8" s="15">
        <v>1</v>
      </c>
      <c r="J8" s="15"/>
      <c r="K8" s="15"/>
      <c r="L8" s="15"/>
      <c r="M8" s="15"/>
      <c r="N8" s="15"/>
      <c r="O8" s="15"/>
      <c r="P8" s="15"/>
      <c r="Q8" s="15">
        <f t="shared" si="1"/>
        <v>6</v>
      </c>
      <c r="R8" s="15">
        <f t="shared" si="4"/>
        <v>10</v>
      </c>
      <c r="S8" s="15">
        <f t="shared" si="2"/>
        <v>6</v>
      </c>
      <c r="T8" s="15">
        <f t="shared" si="3"/>
        <v>16</v>
      </c>
    </row>
    <row r="9" spans="1:20">
      <c r="A9" s="7" t="s">
        <v>34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>
        <v>1</v>
      </c>
      <c r="I9" s="7">
        <v>4</v>
      </c>
      <c r="J9" s="7"/>
      <c r="K9" s="7"/>
      <c r="L9" s="7"/>
      <c r="M9" s="7"/>
      <c r="N9" s="7"/>
      <c r="O9" s="7"/>
      <c r="P9" s="7"/>
      <c r="Q9" s="15">
        <f t="shared" si="1"/>
        <v>5</v>
      </c>
      <c r="R9" s="7">
        <f t="shared" si="4"/>
        <v>3</v>
      </c>
      <c r="S9" s="7">
        <f t="shared" si="2"/>
        <v>6</v>
      </c>
      <c r="T9" s="7">
        <f t="shared" si="3"/>
        <v>9</v>
      </c>
    </row>
    <row r="10" spans="1:20">
      <c r="A10" s="15" t="s">
        <v>36</v>
      </c>
      <c r="B10" s="15">
        <v>15</v>
      </c>
      <c r="C10" s="15">
        <v>6</v>
      </c>
      <c r="D10" s="15">
        <f t="shared" si="0"/>
        <v>21</v>
      </c>
      <c r="E10" s="15">
        <v>0.5</v>
      </c>
      <c r="F10" s="15"/>
      <c r="G10" s="15">
        <v>1.5</v>
      </c>
      <c r="H10" s="15">
        <v>1</v>
      </c>
      <c r="I10" s="15">
        <v>2.5</v>
      </c>
      <c r="J10" s="15">
        <v>1</v>
      </c>
      <c r="K10" s="15"/>
      <c r="L10" s="15"/>
      <c r="M10" s="15"/>
      <c r="N10" s="15"/>
      <c r="O10" s="15"/>
      <c r="P10" s="15"/>
      <c r="Q10" s="15">
        <f t="shared" si="1"/>
        <v>6.5</v>
      </c>
      <c r="R10" s="15">
        <f t="shared" si="4"/>
        <v>8.5</v>
      </c>
      <c r="S10" s="15">
        <f t="shared" si="2"/>
        <v>6</v>
      </c>
      <c r="T10" s="15">
        <f t="shared" si="3"/>
        <v>14.5</v>
      </c>
    </row>
    <row r="12" spans="1:20">
      <c r="A12" s="94" t="s">
        <v>14</v>
      </c>
      <c r="B12" s="95"/>
      <c r="C12" s="94" t="s">
        <v>58</v>
      </c>
      <c r="D12" s="96"/>
      <c r="E12" s="95"/>
    </row>
    <row r="13" spans="1:20">
      <c r="A13" s="94" t="s">
        <v>6</v>
      </c>
      <c r="B13" s="95"/>
      <c r="C13" s="97" t="s">
        <v>59</v>
      </c>
      <c r="D13" s="98"/>
      <c r="E13" s="99"/>
    </row>
    <row r="14" spans="1:20">
      <c r="A14" s="6" t="s">
        <v>60</v>
      </c>
    </row>
  </sheetData>
  <sheetProtection sheet="1" objects="1" scenarios="1"/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9" type="noConversion"/>
  <conditionalFormatting sqref="Q2:Q10">
    <cfRule type="cellIs" dxfId="1" priority="1" operator="lessThan">
      <formula>$T$2/12*6</formula>
    </cfRule>
  </conditionalFormatting>
  <conditionalFormatting sqref="T2:T10">
    <cfRule type="cellIs" dxfId="0" priority="3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7835-29CF-46D1-8782-48AAD7C72B63}">
  <dimension ref="A1:AJ26"/>
  <sheetViews>
    <sheetView zoomScale="80" zoomScaleNormal="80" workbookViewId="0"/>
  </sheetViews>
  <sheetFormatPr defaultRowHeight="15"/>
  <cols>
    <col min="1" max="1" width="13.28515625" customWidth="1"/>
    <col min="2" max="32" width="7.5703125" customWidth="1"/>
  </cols>
  <sheetData>
    <row r="1" spans="1:36" ht="177.75" customHeight="1">
      <c r="B1" s="106" t="s">
        <v>61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56"/>
      <c r="AC1" s="101" t="s">
        <v>62</v>
      </c>
      <c r="AD1" s="101"/>
      <c r="AE1" s="101"/>
      <c r="AF1" s="101"/>
    </row>
    <row r="2" spans="1:36" ht="26.45">
      <c r="A2" s="8" t="s">
        <v>63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</row>
    <row r="3" spans="1:36" hidden="1">
      <c r="A3" s="104" t="s">
        <v>64</v>
      </c>
      <c r="B3" s="47" t="s">
        <v>65</v>
      </c>
      <c r="C3" s="47" t="s">
        <v>66</v>
      </c>
      <c r="D3" s="47" t="s">
        <v>67</v>
      </c>
      <c r="E3" s="47" t="s">
        <v>68</v>
      </c>
      <c r="F3" s="47" t="s">
        <v>69</v>
      </c>
      <c r="G3" s="47" t="s">
        <v>70</v>
      </c>
      <c r="H3" s="47" t="s">
        <v>71</v>
      </c>
      <c r="I3" s="47" t="s">
        <v>65</v>
      </c>
      <c r="J3" s="47" t="s">
        <v>66</v>
      </c>
      <c r="K3" s="47" t="s">
        <v>67</v>
      </c>
      <c r="L3" s="47" t="s">
        <v>68</v>
      </c>
      <c r="M3" s="47" t="s">
        <v>69</v>
      </c>
      <c r="N3" s="47" t="s">
        <v>70</v>
      </c>
      <c r="O3" s="47" t="s">
        <v>71</v>
      </c>
      <c r="P3" s="47" t="s">
        <v>65</v>
      </c>
      <c r="Q3" s="47" t="s">
        <v>66</v>
      </c>
      <c r="R3" s="47" t="s">
        <v>67</v>
      </c>
      <c r="S3" s="47" t="s">
        <v>68</v>
      </c>
      <c r="T3" s="47" t="s">
        <v>69</v>
      </c>
      <c r="U3" s="47" t="s">
        <v>70</v>
      </c>
      <c r="V3" s="47" t="s">
        <v>71</v>
      </c>
      <c r="W3" s="47" t="s">
        <v>65</v>
      </c>
      <c r="X3" s="47" t="s">
        <v>66</v>
      </c>
      <c r="Y3" s="47" t="s">
        <v>67</v>
      </c>
      <c r="Z3" s="47" t="s">
        <v>68</v>
      </c>
      <c r="AA3" s="47" t="s">
        <v>69</v>
      </c>
      <c r="AB3" s="47" t="s">
        <v>70</v>
      </c>
      <c r="AC3" s="47" t="s">
        <v>71</v>
      </c>
      <c r="AD3" s="47" t="s">
        <v>65</v>
      </c>
      <c r="AE3" s="47" t="s">
        <v>66</v>
      </c>
      <c r="AF3" s="47" t="s">
        <v>67</v>
      </c>
    </row>
    <row r="4" spans="1:36" hidden="1">
      <c r="A4" s="105"/>
      <c r="B4" s="46">
        <v>46023</v>
      </c>
      <c r="C4" s="46">
        <v>46024</v>
      </c>
      <c r="D4" s="46">
        <v>46025</v>
      </c>
      <c r="E4" s="46">
        <v>46026</v>
      </c>
      <c r="F4" s="46">
        <v>46027</v>
      </c>
      <c r="G4" s="46">
        <v>46028</v>
      </c>
      <c r="H4" s="46">
        <v>46029</v>
      </c>
      <c r="I4" s="46">
        <v>46030</v>
      </c>
      <c r="J4" s="46">
        <v>46031</v>
      </c>
      <c r="K4" s="46">
        <v>46032</v>
      </c>
      <c r="L4" s="46">
        <v>46033</v>
      </c>
      <c r="M4" s="46">
        <v>46034</v>
      </c>
      <c r="N4" s="46">
        <v>46035</v>
      </c>
      <c r="O4" s="46">
        <v>46036</v>
      </c>
      <c r="P4" s="46">
        <v>46037</v>
      </c>
      <c r="Q4" s="46">
        <v>46038</v>
      </c>
      <c r="R4" s="46">
        <v>46039</v>
      </c>
      <c r="S4" s="46">
        <v>46040</v>
      </c>
      <c r="T4" s="46">
        <v>46041</v>
      </c>
      <c r="U4" s="46">
        <v>46042</v>
      </c>
      <c r="V4" s="46">
        <v>46043</v>
      </c>
      <c r="W4" s="46">
        <v>46044</v>
      </c>
      <c r="X4" s="46">
        <v>46045</v>
      </c>
      <c r="Y4" s="46">
        <v>46046</v>
      </c>
      <c r="Z4" s="46">
        <v>46047</v>
      </c>
      <c r="AA4" s="46">
        <v>46048</v>
      </c>
      <c r="AB4" s="46">
        <v>46049</v>
      </c>
      <c r="AC4" s="46">
        <v>46050</v>
      </c>
      <c r="AD4" s="46">
        <v>46051</v>
      </c>
      <c r="AE4" s="46">
        <v>46052</v>
      </c>
      <c r="AF4" s="46">
        <v>46053</v>
      </c>
    </row>
    <row r="5" spans="1:36" hidden="1">
      <c r="A5" s="102" t="s">
        <v>72</v>
      </c>
      <c r="B5" s="50" t="s">
        <v>68</v>
      </c>
      <c r="C5" s="50" t="s">
        <v>69</v>
      </c>
      <c r="D5" s="50" t="s">
        <v>70</v>
      </c>
      <c r="E5" s="50" t="s">
        <v>71</v>
      </c>
      <c r="F5" s="50" t="s">
        <v>65</v>
      </c>
      <c r="G5" s="50" t="s">
        <v>66</v>
      </c>
      <c r="H5" s="50" t="s">
        <v>67</v>
      </c>
      <c r="I5" s="50" t="s">
        <v>68</v>
      </c>
      <c r="J5" s="50" t="s">
        <v>69</v>
      </c>
      <c r="K5" s="50" t="s">
        <v>70</v>
      </c>
      <c r="L5" s="50" t="s">
        <v>71</v>
      </c>
      <c r="M5" s="50" t="s">
        <v>65</v>
      </c>
      <c r="N5" s="50" t="s">
        <v>66</v>
      </c>
      <c r="O5" s="50" t="s">
        <v>67</v>
      </c>
      <c r="P5" s="50" t="s">
        <v>68</v>
      </c>
      <c r="Q5" s="50" t="s">
        <v>69</v>
      </c>
      <c r="R5" s="50" t="s">
        <v>70</v>
      </c>
      <c r="S5" s="50" t="s">
        <v>71</v>
      </c>
      <c r="T5" s="50" t="s">
        <v>65</v>
      </c>
      <c r="U5" s="48" t="s">
        <v>66</v>
      </c>
      <c r="V5" s="48" t="s">
        <v>67</v>
      </c>
      <c r="W5" s="48" t="s">
        <v>68</v>
      </c>
      <c r="X5" s="48" t="s">
        <v>69</v>
      </c>
      <c r="Y5" s="48" t="s">
        <v>70</v>
      </c>
      <c r="Z5" s="48" t="s">
        <v>71</v>
      </c>
      <c r="AA5" s="48" t="s">
        <v>65</v>
      </c>
      <c r="AB5" s="50" t="s">
        <v>66</v>
      </c>
      <c r="AC5" s="50" t="s">
        <v>67</v>
      </c>
    </row>
    <row r="6" spans="1:36" hidden="1">
      <c r="A6" s="103"/>
      <c r="B6" s="51">
        <v>46054</v>
      </c>
      <c r="C6" s="51">
        <v>46055</v>
      </c>
      <c r="D6" s="51">
        <v>46056</v>
      </c>
      <c r="E6" s="51">
        <v>46057</v>
      </c>
      <c r="F6" s="51">
        <v>46058</v>
      </c>
      <c r="G6" s="51">
        <v>46059</v>
      </c>
      <c r="H6" s="51">
        <v>46060</v>
      </c>
      <c r="I6" s="51">
        <v>46061</v>
      </c>
      <c r="J6" s="51">
        <v>46062</v>
      </c>
      <c r="K6" s="51">
        <v>46063</v>
      </c>
      <c r="L6" s="51">
        <v>46064</v>
      </c>
      <c r="M6" s="51">
        <v>46065</v>
      </c>
      <c r="N6" s="51">
        <v>46066</v>
      </c>
      <c r="O6" s="51">
        <v>46067</v>
      </c>
      <c r="P6" s="51">
        <v>46068</v>
      </c>
      <c r="Q6" s="51">
        <v>46069</v>
      </c>
      <c r="R6" s="51">
        <v>46070</v>
      </c>
      <c r="S6" s="51">
        <v>46071</v>
      </c>
      <c r="T6" s="51">
        <v>46072</v>
      </c>
      <c r="U6" s="49">
        <v>46073</v>
      </c>
      <c r="V6" s="49">
        <v>46074</v>
      </c>
      <c r="W6" s="49">
        <v>46075</v>
      </c>
      <c r="X6" s="49">
        <v>46076</v>
      </c>
      <c r="Y6" s="49">
        <v>46077</v>
      </c>
      <c r="Z6" s="49">
        <v>46078</v>
      </c>
      <c r="AA6" s="49">
        <v>46079</v>
      </c>
      <c r="AB6" s="51">
        <v>46080</v>
      </c>
      <c r="AC6" s="51">
        <v>46081</v>
      </c>
    </row>
    <row r="7" spans="1:36" hidden="1">
      <c r="A7" s="104" t="s">
        <v>73</v>
      </c>
      <c r="B7" s="47" t="s">
        <v>68</v>
      </c>
      <c r="C7" s="48" t="s">
        <v>69</v>
      </c>
      <c r="D7" s="48" t="s">
        <v>70</v>
      </c>
      <c r="E7" s="48" t="s">
        <v>71</v>
      </c>
      <c r="F7" s="48" t="s">
        <v>65</v>
      </c>
      <c r="G7" s="48" t="s">
        <v>66</v>
      </c>
      <c r="H7" s="48" t="s">
        <v>67</v>
      </c>
      <c r="I7" s="54" t="s">
        <v>68</v>
      </c>
      <c r="J7" s="54" t="s">
        <v>69</v>
      </c>
      <c r="K7" s="54" t="s">
        <v>70</v>
      </c>
      <c r="L7" s="54" t="s">
        <v>71</v>
      </c>
      <c r="M7" s="54" t="s">
        <v>65</v>
      </c>
      <c r="N7" s="54" t="s">
        <v>66</v>
      </c>
      <c r="O7" s="47" t="s">
        <v>67</v>
      </c>
      <c r="P7" s="47" t="s">
        <v>68</v>
      </c>
      <c r="Q7" s="47" t="s">
        <v>69</v>
      </c>
      <c r="R7" s="47" t="s">
        <v>70</v>
      </c>
      <c r="S7" s="47" t="s">
        <v>71</v>
      </c>
      <c r="T7" s="47" t="s">
        <v>65</v>
      </c>
      <c r="U7" s="47" t="s">
        <v>66</v>
      </c>
      <c r="V7" s="47" t="s">
        <v>67</v>
      </c>
      <c r="W7" s="47" t="s">
        <v>68</v>
      </c>
      <c r="X7" s="47" t="s">
        <v>69</v>
      </c>
      <c r="Y7" s="47" t="s">
        <v>70</v>
      </c>
      <c r="Z7" s="47" t="s">
        <v>71</v>
      </c>
      <c r="AA7" s="47" t="s">
        <v>65</v>
      </c>
      <c r="AB7" s="47" t="s">
        <v>66</v>
      </c>
      <c r="AC7" s="47" t="s">
        <v>67</v>
      </c>
      <c r="AD7" s="47" t="s">
        <v>68</v>
      </c>
      <c r="AE7" s="47" t="s">
        <v>69</v>
      </c>
      <c r="AF7" s="47" t="s">
        <v>70</v>
      </c>
    </row>
    <row r="8" spans="1:36" hidden="1">
      <c r="A8" s="105"/>
      <c r="B8" s="46">
        <v>46082</v>
      </c>
      <c r="C8" s="49">
        <v>46083</v>
      </c>
      <c r="D8" s="49">
        <v>46084</v>
      </c>
      <c r="E8" s="49">
        <v>46085</v>
      </c>
      <c r="F8" s="49">
        <v>46086</v>
      </c>
      <c r="G8" s="49">
        <v>46087</v>
      </c>
      <c r="H8" s="49">
        <v>46088</v>
      </c>
      <c r="I8" s="55">
        <v>46089</v>
      </c>
      <c r="J8" s="55">
        <v>46090</v>
      </c>
      <c r="K8" s="55">
        <v>46091</v>
      </c>
      <c r="L8" s="55">
        <v>46092</v>
      </c>
      <c r="M8" s="55">
        <v>46093</v>
      </c>
      <c r="N8" s="55">
        <v>46094</v>
      </c>
      <c r="O8" s="46">
        <v>46095</v>
      </c>
      <c r="P8" s="46">
        <v>46096</v>
      </c>
      <c r="Q8" s="46">
        <v>46097</v>
      </c>
      <c r="R8" s="46">
        <v>46098</v>
      </c>
      <c r="S8" s="46">
        <v>46099</v>
      </c>
      <c r="T8" s="46">
        <v>46100</v>
      </c>
      <c r="U8" s="46">
        <v>46101</v>
      </c>
      <c r="V8" s="46">
        <v>46102</v>
      </c>
      <c r="W8" s="46">
        <v>46103</v>
      </c>
      <c r="X8" s="46">
        <v>46104</v>
      </c>
      <c r="Y8" s="46">
        <v>46105</v>
      </c>
      <c r="Z8" s="46">
        <v>46106</v>
      </c>
      <c r="AA8" s="46">
        <v>46107</v>
      </c>
      <c r="AB8" s="46">
        <v>46108</v>
      </c>
      <c r="AC8" s="46">
        <v>46109</v>
      </c>
      <c r="AD8" s="46">
        <v>46110</v>
      </c>
      <c r="AE8" s="46">
        <v>46111</v>
      </c>
      <c r="AF8" s="46">
        <v>46112</v>
      </c>
    </row>
    <row r="9" spans="1:36" ht="18" hidden="1">
      <c r="A9" s="102" t="s">
        <v>74</v>
      </c>
      <c r="B9" s="50" t="s">
        <v>71</v>
      </c>
      <c r="C9" s="50" t="s">
        <v>65</v>
      </c>
      <c r="D9" s="50" t="s">
        <v>66</v>
      </c>
      <c r="E9" s="50" t="s">
        <v>67</v>
      </c>
      <c r="F9" s="50" t="s">
        <v>68</v>
      </c>
      <c r="G9" s="50" t="s">
        <v>69</v>
      </c>
      <c r="H9" s="50" t="s">
        <v>70</v>
      </c>
      <c r="I9" s="50" t="s">
        <v>71</v>
      </c>
      <c r="J9" s="50" t="s">
        <v>65</v>
      </c>
      <c r="K9" s="50" t="s">
        <v>66</v>
      </c>
      <c r="L9" s="50" t="s">
        <v>67</v>
      </c>
      <c r="M9" s="50" t="s">
        <v>68</v>
      </c>
      <c r="N9" s="50" t="s">
        <v>69</v>
      </c>
      <c r="O9" s="50" t="s">
        <v>70</v>
      </c>
      <c r="P9" s="50" t="s">
        <v>71</v>
      </c>
      <c r="Q9" s="50" t="s">
        <v>65</v>
      </c>
      <c r="R9" s="50" t="s">
        <v>66</v>
      </c>
      <c r="S9" s="50" t="s">
        <v>67</v>
      </c>
      <c r="T9" s="50" t="s">
        <v>68</v>
      </c>
      <c r="U9" s="50" t="s">
        <v>69</v>
      </c>
      <c r="V9" s="50" t="s">
        <v>70</v>
      </c>
      <c r="W9" s="50" t="s">
        <v>71</v>
      </c>
      <c r="X9" s="50" t="s">
        <v>65</v>
      </c>
      <c r="Y9" s="48" t="s">
        <v>66</v>
      </c>
      <c r="Z9" s="48" t="s">
        <v>67</v>
      </c>
      <c r="AA9" s="48" t="s">
        <v>68</v>
      </c>
      <c r="AB9" s="48" t="s">
        <v>69</v>
      </c>
      <c r="AC9" s="48" t="s">
        <v>70</v>
      </c>
      <c r="AD9" s="48" t="s">
        <v>71</v>
      </c>
      <c r="AE9" s="48" t="s">
        <v>65</v>
      </c>
      <c r="AF9" s="52"/>
      <c r="AG9" s="52"/>
      <c r="AH9" s="52"/>
      <c r="AI9" s="52"/>
      <c r="AJ9" s="52"/>
    </row>
    <row r="10" spans="1:36" ht="18" hidden="1">
      <c r="A10" s="103"/>
      <c r="B10" s="51">
        <v>46113</v>
      </c>
      <c r="C10" s="51">
        <v>46114</v>
      </c>
      <c r="D10" s="51">
        <v>46115</v>
      </c>
      <c r="E10" s="51">
        <v>46116</v>
      </c>
      <c r="F10" s="51">
        <v>46117</v>
      </c>
      <c r="G10" s="51">
        <v>46118</v>
      </c>
      <c r="H10" s="51">
        <v>46119</v>
      </c>
      <c r="I10" s="51">
        <v>46120</v>
      </c>
      <c r="J10" s="51">
        <v>46121</v>
      </c>
      <c r="K10" s="51">
        <v>46122</v>
      </c>
      <c r="L10" s="51">
        <v>46123</v>
      </c>
      <c r="M10" s="51">
        <v>46124</v>
      </c>
      <c r="N10" s="51">
        <v>46125</v>
      </c>
      <c r="O10" s="51">
        <v>46126</v>
      </c>
      <c r="P10" s="51">
        <v>46127</v>
      </c>
      <c r="Q10" s="51">
        <v>46128</v>
      </c>
      <c r="R10" s="51">
        <v>46129</v>
      </c>
      <c r="S10" s="51">
        <v>46130</v>
      </c>
      <c r="T10" s="51">
        <v>46131</v>
      </c>
      <c r="U10" s="51">
        <v>46132</v>
      </c>
      <c r="V10" s="51">
        <v>46133</v>
      </c>
      <c r="W10" s="51">
        <v>46134</v>
      </c>
      <c r="X10" s="51">
        <v>46135</v>
      </c>
      <c r="Y10" s="49">
        <v>46136</v>
      </c>
      <c r="Z10" s="49">
        <v>46137</v>
      </c>
      <c r="AA10" s="49">
        <v>46138</v>
      </c>
      <c r="AB10" s="49">
        <v>46139</v>
      </c>
      <c r="AC10" s="49">
        <v>46140</v>
      </c>
      <c r="AD10" s="49">
        <v>46141</v>
      </c>
      <c r="AE10" s="49">
        <v>46142</v>
      </c>
      <c r="AF10" s="52"/>
      <c r="AG10" s="52"/>
      <c r="AH10" s="52"/>
      <c r="AI10" s="52"/>
      <c r="AJ10" s="52"/>
    </row>
    <row r="11" spans="1:36" hidden="1">
      <c r="A11" s="104" t="s">
        <v>48</v>
      </c>
      <c r="B11" s="48" t="s">
        <v>66</v>
      </c>
      <c r="C11" s="48" t="s">
        <v>67</v>
      </c>
      <c r="D11" s="48" t="s">
        <v>68</v>
      </c>
      <c r="E11" s="48" t="s">
        <v>69</v>
      </c>
      <c r="F11" s="47" t="s">
        <v>70</v>
      </c>
      <c r="G11" s="47" t="s">
        <v>71</v>
      </c>
      <c r="H11" s="47" t="s">
        <v>65</v>
      </c>
      <c r="I11" s="47" t="s">
        <v>66</v>
      </c>
      <c r="J11" s="47" t="s">
        <v>67</v>
      </c>
      <c r="K11" s="47" t="s">
        <v>68</v>
      </c>
      <c r="L11" s="47" t="s">
        <v>69</v>
      </c>
      <c r="M11" s="47" t="s">
        <v>70</v>
      </c>
      <c r="N11" s="47" t="s">
        <v>71</v>
      </c>
      <c r="O11" s="47" t="s">
        <v>65</v>
      </c>
      <c r="P11" s="47" t="s">
        <v>66</v>
      </c>
      <c r="Q11" s="47" t="s">
        <v>67</v>
      </c>
      <c r="R11" s="47" t="s">
        <v>68</v>
      </c>
      <c r="S11" s="47" t="s">
        <v>69</v>
      </c>
      <c r="T11" s="47" t="s">
        <v>70</v>
      </c>
      <c r="U11" s="47" t="s">
        <v>71</v>
      </c>
      <c r="V11" s="47" t="s">
        <v>65</v>
      </c>
      <c r="W11" s="47" t="s">
        <v>66</v>
      </c>
      <c r="X11" s="47" t="s">
        <v>67</v>
      </c>
      <c r="Y11" s="47" t="s">
        <v>68</v>
      </c>
      <c r="Z11" s="47" t="s">
        <v>69</v>
      </c>
      <c r="AA11" s="47" t="s">
        <v>70</v>
      </c>
      <c r="AB11" s="47" t="s">
        <v>71</v>
      </c>
      <c r="AC11" s="47" t="s">
        <v>65</v>
      </c>
      <c r="AD11" s="47" t="s">
        <v>66</v>
      </c>
      <c r="AE11" s="47" t="s">
        <v>67</v>
      </c>
      <c r="AF11" s="47" t="s">
        <v>68</v>
      </c>
    </row>
    <row r="12" spans="1:36" hidden="1">
      <c r="A12" s="105"/>
      <c r="B12" s="49">
        <v>46143</v>
      </c>
      <c r="C12" s="49">
        <v>46144</v>
      </c>
      <c r="D12" s="49">
        <v>46145</v>
      </c>
      <c r="E12" s="49">
        <v>46146</v>
      </c>
      <c r="F12" s="46">
        <v>46147</v>
      </c>
      <c r="G12" s="46">
        <v>46148</v>
      </c>
      <c r="H12" s="46">
        <v>46149</v>
      </c>
      <c r="I12" s="46">
        <v>46150</v>
      </c>
      <c r="J12" s="46">
        <v>46151</v>
      </c>
      <c r="K12" s="46">
        <v>46152</v>
      </c>
      <c r="L12" s="46">
        <v>46153</v>
      </c>
      <c r="M12" s="46">
        <v>46154</v>
      </c>
      <c r="N12" s="46">
        <v>46155</v>
      </c>
      <c r="O12" s="46">
        <v>46156</v>
      </c>
      <c r="P12" s="46">
        <v>46157</v>
      </c>
      <c r="Q12" s="46">
        <v>46158</v>
      </c>
      <c r="R12" s="46">
        <v>46159</v>
      </c>
      <c r="S12" s="46">
        <v>46160</v>
      </c>
      <c r="T12" s="46">
        <v>46161</v>
      </c>
      <c r="U12" s="46">
        <v>46162</v>
      </c>
      <c r="V12" s="46">
        <v>46163</v>
      </c>
      <c r="W12" s="46">
        <v>46164</v>
      </c>
      <c r="X12" s="46">
        <v>46165</v>
      </c>
      <c r="Y12" s="46">
        <v>46166</v>
      </c>
      <c r="Z12" s="46">
        <v>46167</v>
      </c>
      <c r="AA12" s="46">
        <v>46168</v>
      </c>
      <c r="AB12" s="46">
        <v>46169</v>
      </c>
      <c r="AC12" s="46">
        <v>46170</v>
      </c>
      <c r="AD12" s="46">
        <v>46171</v>
      </c>
      <c r="AE12" s="46">
        <v>46172</v>
      </c>
      <c r="AF12" s="46">
        <v>46173</v>
      </c>
    </row>
    <row r="13" spans="1:36" ht="18" hidden="1">
      <c r="A13" s="102" t="s">
        <v>75</v>
      </c>
      <c r="B13" s="50" t="s">
        <v>69</v>
      </c>
      <c r="C13" s="50" t="s">
        <v>70</v>
      </c>
      <c r="D13" s="50" t="s">
        <v>71</v>
      </c>
      <c r="E13" s="50" t="s">
        <v>65</v>
      </c>
      <c r="F13" s="50" t="s">
        <v>66</v>
      </c>
      <c r="G13" s="50" t="s">
        <v>67</v>
      </c>
      <c r="H13" s="50" t="s">
        <v>68</v>
      </c>
      <c r="I13" s="50" t="s">
        <v>69</v>
      </c>
      <c r="J13" s="50" t="s">
        <v>70</v>
      </c>
      <c r="K13" s="50" t="s">
        <v>71</v>
      </c>
      <c r="L13" s="50" t="s">
        <v>65</v>
      </c>
      <c r="M13" s="50" t="s">
        <v>66</v>
      </c>
      <c r="N13" s="50" t="s">
        <v>67</v>
      </c>
      <c r="O13" s="50" t="s">
        <v>68</v>
      </c>
      <c r="P13" s="50" t="s">
        <v>69</v>
      </c>
      <c r="Q13" s="50" t="s">
        <v>70</v>
      </c>
      <c r="R13" s="50" t="s">
        <v>71</v>
      </c>
      <c r="S13" s="50" t="s">
        <v>65</v>
      </c>
      <c r="T13" s="50" t="s">
        <v>66</v>
      </c>
      <c r="U13" s="50" t="s">
        <v>67</v>
      </c>
      <c r="V13" s="50" t="s">
        <v>68</v>
      </c>
      <c r="W13" s="50" t="s">
        <v>69</v>
      </c>
      <c r="X13" s="50" t="s">
        <v>70</v>
      </c>
      <c r="Y13" s="50" t="s">
        <v>71</v>
      </c>
      <c r="Z13" s="50" t="s">
        <v>65</v>
      </c>
      <c r="AA13" s="50" t="s">
        <v>66</v>
      </c>
      <c r="AB13" s="50" t="s">
        <v>67</v>
      </c>
      <c r="AC13" s="50" t="s">
        <v>68</v>
      </c>
      <c r="AD13" s="50" t="s">
        <v>69</v>
      </c>
      <c r="AE13" s="50" t="s">
        <v>70</v>
      </c>
      <c r="AF13" s="52"/>
      <c r="AG13" s="52"/>
      <c r="AH13" s="52"/>
      <c r="AI13" s="52"/>
      <c r="AJ13" s="52"/>
    </row>
    <row r="14" spans="1:36" ht="18" hidden="1">
      <c r="A14" s="103"/>
      <c r="B14" s="51">
        <v>46174</v>
      </c>
      <c r="C14" s="51">
        <v>46175</v>
      </c>
      <c r="D14" s="51">
        <v>46176</v>
      </c>
      <c r="E14" s="51">
        <v>46177</v>
      </c>
      <c r="F14" s="51">
        <v>46178</v>
      </c>
      <c r="G14" s="51">
        <v>46179</v>
      </c>
      <c r="H14" s="51">
        <v>46180</v>
      </c>
      <c r="I14" s="51">
        <v>46181</v>
      </c>
      <c r="J14" s="51">
        <v>46182</v>
      </c>
      <c r="K14" s="51">
        <v>46183</v>
      </c>
      <c r="L14" s="51">
        <v>46184</v>
      </c>
      <c r="M14" s="51">
        <v>46185</v>
      </c>
      <c r="N14" s="51">
        <v>46186</v>
      </c>
      <c r="O14" s="51">
        <v>46187</v>
      </c>
      <c r="P14" s="51">
        <v>46188</v>
      </c>
      <c r="Q14" s="51">
        <v>46189</v>
      </c>
      <c r="R14" s="51">
        <v>46190</v>
      </c>
      <c r="S14" s="51">
        <v>46191</v>
      </c>
      <c r="T14" s="51">
        <v>46192</v>
      </c>
      <c r="U14" s="51">
        <v>46193</v>
      </c>
      <c r="V14" s="51">
        <v>46194</v>
      </c>
      <c r="W14" s="51">
        <v>46195</v>
      </c>
      <c r="X14" s="51">
        <v>46196</v>
      </c>
      <c r="Y14" s="51">
        <v>46197</v>
      </c>
      <c r="Z14" s="51">
        <v>46198</v>
      </c>
      <c r="AA14" s="51">
        <v>46199</v>
      </c>
      <c r="AB14" s="51">
        <v>46200</v>
      </c>
      <c r="AC14" s="51">
        <v>46201</v>
      </c>
      <c r="AD14" s="51">
        <v>46202</v>
      </c>
      <c r="AE14" s="51">
        <v>46203</v>
      </c>
      <c r="AF14" s="52"/>
      <c r="AG14" s="52"/>
      <c r="AH14" s="52"/>
      <c r="AI14" s="52"/>
      <c r="AJ14" s="52"/>
    </row>
    <row r="15" spans="1:36">
      <c r="A15" s="104" t="s">
        <v>76</v>
      </c>
      <c r="B15" s="47" t="s">
        <v>71</v>
      </c>
      <c r="C15" s="47" t="s">
        <v>65</v>
      </c>
      <c r="D15" s="47" t="s">
        <v>66</v>
      </c>
      <c r="E15" s="34" t="s">
        <v>67</v>
      </c>
      <c r="F15" s="35" t="s">
        <v>68</v>
      </c>
      <c r="G15" s="47" t="s">
        <v>69</v>
      </c>
      <c r="H15" s="47" t="s">
        <v>70</v>
      </c>
      <c r="I15" s="47" t="s">
        <v>71</v>
      </c>
      <c r="J15" s="47" t="s">
        <v>65</v>
      </c>
      <c r="K15" s="47" t="s">
        <v>66</v>
      </c>
      <c r="L15" s="35" t="s">
        <v>67</v>
      </c>
      <c r="M15" s="35" t="s">
        <v>68</v>
      </c>
      <c r="N15" s="47" t="s">
        <v>69</v>
      </c>
      <c r="O15" s="47" t="s">
        <v>70</v>
      </c>
      <c r="P15" s="47" t="s">
        <v>71</v>
      </c>
      <c r="Q15" s="47" t="s">
        <v>65</v>
      </c>
      <c r="R15" s="47" t="s">
        <v>66</v>
      </c>
      <c r="S15" s="35" t="s">
        <v>67</v>
      </c>
      <c r="T15" s="68" t="s">
        <v>68</v>
      </c>
      <c r="U15" s="69" t="s">
        <v>69</v>
      </c>
      <c r="V15" s="69" t="s">
        <v>70</v>
      </c>
      <c r="W15" s="69" t="s">
        <v>71</v>
      </c>
      <c r="X15" s="48" t="s">
        <v>65</v>
      </c>
      <c r="Y15" s="48" t="s">
        <v>66</v>
      </c>
      <c r="Z15" s="38" t="s">
        <v>67</v>
      </c>
      <c r="AA15" s="38" t="s">
        <v>68</v>
      </c>
      <c r="AB15" s="48" t="s">
        <v>69</v>
      </c>
      <c r="AC15" s="48" t="s">
        <v>70</v>
      </c>
      <c r="AD15" s="47" t="s">
        <v>71</v>
      </c>
      <c r="AE15" s="47" t="s">
        <v>65</v>
      </c>
      <c r="AF15" s="47" t="s">
        <v>66</v>
      </c>
      <c r="AG15" s="45"/>
      <c r="AH15" s="45"/>
      <c r="AI15" s="45"/>
      <c r="AJ15" s="45"/>
    </row>
    <row r="16" spans="1:36">
      <c r="A16" s="105"/>
      <c r="B16" s="46">
        <v>46204</v>
      </c>
      <c r="C16" s="46">
        <v>46205</v>
      </c>
      <c r="D16" s="46">
        <v>46206</v>
      </c>
      <c r="E16" s="36">
        <v>46207</v>
      </c>
      <c r="F16" s="37">
        <v>46208</v>
      </c>
      <c r="G16" s="46">
        <v>46209</v>
      </c>
      <c r="H16" s="46">
        <v>46210</v>
      </c>
      <c r="I16" s="46">
        <v>46211</v>
      </c>
      <c r="J16" s="46">
        <v>46212</v>
      </c>
      <c r="K16" s="46">
        <v>46213</v>
      </c>
      <c r="L16" s="37">
        <v>46214</v>
      </c>
      <c r="M16" s="37">
        <v>46215</v>
      </c>
      <c r="N16" s="46">
        <v>46216</v>
      </c>
      <c r="O16" s="46">
        <v>46217</v>
      </c>
      <c r="P16" s="46">
        <v>46218</v>
      </c>
      <c r="Q16" s="46">
        <v>46219</v>
      </c>
      <c r="R16" s="46">
        <v>46220</v>
      </c>
      <c r="S16" s="37">
        <v>46221</v>
      </c>
      <c r="T16" s="70">
        <v>46222</v>
      </c>
      <c r="U16" s="71">
        <v>46223</v>
      </c>
      <c r="V16" s="71">
        <v>46224</v>
      </c>
      <c r="W16" s="71">
        <v>46225</v>
      </c>
      <c r="X16" s="49">
        <v>46226</v>
      </c>
      <c r="Y16" s="49">
        <v>46227</v>
      </c>
      <c r="Z16" s="39">
        <v>46228</v>
      </c>
      <c r="AA16" s="39">
        <v>46229</v>
      </c>
      <c r="AB16" s="49">
        <v>46230</v>
      </c>
      <c r="AC16" s="49">
        <v>46231</v>
      </c>
      <c r="AD16" s="46">
        <v>46232</v>
      </c>
      <c r="AE16" s="46">
        <v>46233</v>
      </c>
      <c r="AF16" s="46">
        <v>46234</v>
      </c>
      <c r="AG16" s="45"/>
      <c r="AH16" s="45"/>
      <c r="AI16" s="45"/>
      <c r="AJ16" s="45"/>
    </row>
    <row r="17" spans="1:36" ht="18">
      <c r="A17" s="102" t="s">
        <v>77</v>
      </c>
      <c r="B17" s="40" t="s">
        <v>67</v>
      </c>
      <c r="C17" s="40" t="s">
        <v>68</v>
      </c>
      <c r="D17" s="57" t="s">
        <v>69</v>
      </c>
      <c r="E17" s="57" t="s">
        <v>70</v>
      </c>
      <c r="F17" s="57" t="s">
        <v>71</v>
      </c>
      <c r="G17" s="50" t="s">
        <v>65</v>
      </c>
      <c r="H17" s="50" t="s">
        <v>66</v>
      </c>
      <c r="I17" s="40" t="s">
        <v>67</v>
      </c>
      <c r="J17" s="40" t="s">
        <v>68</v>
      </c>
      <c r="K17" s="50" t="s">
        <v>69</v>
      </c>
      <c r="L17" s="50" t="s">
        <v>70</v>
      </c>
      <c r="M17" s="50" t="s">
        <v>71</v>
      </c>
      <c r="N17" s="50" t="s">
        <v>65</v>
      </c>
      <c r="O17" s="50" t="s">
        <v>66</v>
      </c>
      <c r="P17" s="40" t="s">
        <v>67</v>
      </c>
      <c r="Q17" s="40" t="s">
        <v>68</v>
      </c>
      <c r="R17" s="50" t="s">
        <v>69</v>
      </c>
      <c r="S17" s="50" t="s">
        <v>70</v>
      </c>
      <c r="T17" s="54" t="s">
        <v>71</v>
      </c>
      <c r="U17" s="54" t="s">
        <v>65</v>
      </c>
      <c r="V17" s="54" t="s">
        <v>66</v>
      </c>
      <c r="W17" s="42" t="s">
        <v>67</v>
      </c>
      <c r="X17" s="42" t="s">
        <v>68</v>
      </c>
      <c r="Y17" s="48" t="s">
        <v>69</v>
      </c>
      <c r="Z17" s="48" t="s">
        <v>70</v>
      </c>
      <c r="AA17" s="48" t="s">
        <v>71</v>
      </c>
      <c r="AB17" s="48" t="s">
        <v>65</v>
      </c>
      <c r="AC17" s="48" t="s">
        <v>66</v>
      </c>
      <c r="AD17" s="38" t="s">
        <v>67</v>
      </c>
      <c r="AE17" s="38" t="s">
        <v>68</v>
      </c>
      <c r="AF17" s="50" t="s">
        <v>69</v>
      </c>
      <c r="AG17" s="44"/>
      <c r="AH17" s="44"/>
      <c r="AI17" s="44"/>
      <c r="AJ17" s="44"/>
    </row>
    <row r="18" spans="1:36" ht="18">
      <c r="A18" s="103"/>
      <c r="B18" s="41">
        <v>46235</v>
      </c>
      <c r="C18" s="41">
        <v>46236</v>
      </c>
      <c r="D18" s="58">
        <v>46237</v>
      </c>
      <c r="E18" s="58">
        <v>46238</v>
      </c>
      <c r="F18" s="58">
        <v>46239</v>
      </c>
      <c r="G18" s="51">
        <v>46240</v>
      </c>
      <c r="H18" s="51">
        <v>46241</v>
      </c>
      <c r="I18" s="41">
        <v>46242</v>
      </c>
      <c r="J18" s="41">
        <v>46243</v>
      </c>
      <c r="K18" s="51">
        <v>46244</v>
      </c>
      <c r="L18" s="51">
        <v>46245</v>
      </c>
      <c r="M18" s="51">
        <v>46246</v>
      </c>
      <c r="N18" s="51">
        <v>46247</v>
      </c>
      <c r="O18" s="51">
        <v>46248</v>
      </c>
      <c r="P18" s="41">
        <v>46249</v>
      </c>
      <c r="Q18" s="41">
        <v>46250</v>
      </c>
      <c r="R18" s="51">
        <v>46251</v>
      </c>
      <c r="S18" s="51">
        <v>46252</v>
      </c>
      <c r="T18" s="55">
        <v>46253</v>
      </c>
      <c r="U18" s="55">
        <v>46254</v>
      </c>
      <c r="V18" s="55">
        <v>46255</v>
      </c>
      <c r="W18" s="43">
        <v>46256</v>
      </c>
      <c r="X18" s="43">
        <v>46257</v>
      </c>
      <c r="Y18" s="49">
        <v>46258</v>
      </c>
      <c r="Z18" s="49">
        <v>46259</v>
      </c>
      <c r="AA18" s="49">
        <v>46260</v>
      </c>
      <c r="AB18" s="49">
        <v>46261</v>
      </c>
      <c r="AC18" s="49">
        <v>46262</v>
      </c>
      <c r="AD18" s="39">
        <v>46263</v>
      </c>
      <c r="AE18" s="39">
        <v>46264</v>
      </c>
      <c r="AF18" s="51">
        <v>46265</v>
      </c>
      <c r="AG18" s="44"/>
      <c r="AH18" s="44"/>
      <c r="AI18" s="44"/>
      <c r="AJ18" s="44"/>
    </row>
    <row r="19" spans="1:36">
      <c r="A19" s="104" t="s">
        <v>78</v>
      </c>
      <c r="B19" s="47" t="s">
        <v>70</v>
      </c>
      <c r="C19" s="47" t="s">
        <v>71</v>
      </c>
      <c r="D19" s="47" t="s">
        <v>65</v>
      </c>
      <c r="E19" s="47" t="s">
        <v>66</v>
      </c>
      <c r="F19" s="35" t="s">
        <v>67</v>
      </c>
      <c r="G19" s="35" t="s">
        <v>68</v>
      </c>
      <c r="H19" s="57" t="s">
        <v>69</v>
      </c>
      <c r="I19" s="54" t="s">
        <v>70</v>
      </c>
      <c r="J19" s="54" t="s">
        <v>71</v>
      </c>
      <c r="K19" s="54" t="s">
        <v>65</v>
      </c>
      <c r="L19" s="54" t="s">
        <v>66</v>
      </c>
      <c r="M19" s="42" t="s">
        <v>67</v>
      </c>
      <c r="N19" s="42" t="s">
        <v>68</v>
      </c>
      <c r="O19" s="48" t="s">
        <v>69</v>
      </c>
      <c r="P19" s="47" t="s">
        <v>70</v>
      </c>
      <c r="Q19" s="47" t="s">
        <v>71</v>
      </c>
      <c r="R19" s="47" t="s">
        <v>65</v>
      </c>
      <c r="S19" s="47" t="s">
        <v>66</v>
      </c>
      <c r="T19" s="35" t="s">
        <v>67</v>
      </c>
      <c r="U19" s="35" t="s">
        <v>68</v>
      </c>
      <c r="V19" s="47" t="s">
        <v>69</v>
      </c>
      <c r="W19" s="47" t="s">
        <v>70</v>
      </c>
      <c r="X19" s="47" t="s">
        <v>71</v>
      </c>
      <c r="Y19" s="47" t="s">
        <v>65</v>
      </c>
      <c r="Z19" s="35" t="s">
        <v>66</v>
      </c>
      <c r="AA19" s="35" t="s">
        <v>67</v>
      </c>
      <c r="AB19" s="35" t="s">
        <v>68</v>
      </c>
      <c r="AC19" s="35" t="s">
        <v>69</v>
      </c>
      <c r="AD19" s="47" t="s">
        <v>70</v>
      </c>
      <c r="AE19" s="47" t="s">
        <v>71</v>
      </c>
      <c r="AG19" s="100" t="s">
        <v>79</v>
      </c>
      <c r="AH19" s="100"/>
      <c r="AI19" s="100"/>
      <c r="AJ19" s="100"/>
    </row>
    <row r="20" spans="1:36">
      <c r="A20" s="105"/>
      <c r="B20" s="46">
        <v>46266</v>
      </c>
      <c r="C20" s="46">
        <v>46267</v>
      </c>
      <c r="D20" s="46">
        <v>46268</v>
      </c>
      <c r="E20" s="46">
        <v>46269</v>
      </c>
      <c r="F20" s="37">
        <v>46270</v>
      </c>
      <c r="G20" s="37">
        <v>46271</v>
      </c>
      <c r="H20" s="58">
        <v>46272</v>
      </c>
      <c r="I20" s="55">
        <v>46273</v>
      </c>
      <c r="J20" s="55">
        <v>46274</v>
      </c>
      <c r="K20" s="55">
        <v>46275</v>
      </c>
      <c r="L20" s="55">
        <v>46276</v>
      </c>
      <c r="M20" s="43">
        <v>46277</v>
      </c>
      <c r="N20" s="43">
        <v>46278</v>
      </c>
      <c r="O20" s="49">
        <v>46279</v>
      </c>
      <c r="P20" s="46">
        <v>46280</v>
      </c>
      <c r="Q20" s="46">
        <v>46281</v>
      </c>
      <c r="R20" s="46">
        <v>46282</v>
      </c>
      <c r="S20" s="46">
        <v>46283</v>
      </c>
      <c r="T20" s="37">
        <v>46284</v>
      </c>
      <c r="U20" s="37">
        <v>46285</v>
      </c>
      <c r="V20" s="46">
        <v>46286</v>
      </c>
      <c r="W20" s="46">
        <v>46287</v>
      </c>
      <c r="X20" s="46">
        <v>46288</v>
      </c>
      <c r="Y20" s="46">
        <v>46289</v>
      </c>
      <c r="Z20" s="37">
        <v>46290</v>
      </c>
      <c r="AA20" s="37">
        <v>46291</v>
      </c>
      <c r="AB20" s="37">
        <v>46292</v>
      </c>
      <c r="AC20" s="37">
        <v>46293</v>
      </c>
      <c r="AD20" s="46">
        <v>46294</v>
      </c>
      <c r="AE20" s="46">
        <v>46295</v>
      </c>
      <c r="AG20" s="100"/>
      <c r="AH20" s="100"/>
      <c r="AI20" s="100"/>
      <c r="AJ20" s="100"/>
    </row>
    <row r="21" spans="1:36" ht="18">
      <c r="A21" s="102" t="s">
        <v>80</v>
      </c>
      <c r="B21" s="50" t="s">
        <v>65</v>
      </c>
      <c r="C21" s="50" t="s">
        <v>66</v>
      </c>
      <c r="D21" s="42" t="s">
        <v>67</v>
      </c>
      <c r="E21" s="42" t="s">
        <v>68</v>
      </c>
      <c r="F21" s="54" t="s">
        <v>69</v>
      </c>
      <c r="G21" s="54" t="s">
        <v>70</v>
      </c>
      <c r="H21" s="54" t="s">
        <v>71</v>
      </c>
      <c r="I21" s="50" t="s">
        <v>65</v>
      </c>
      <c r="J21" s="40" t="s">
        <v>66</v>
      </c>
      <c r="K21" s="40" t="s">
        <v>67</v>
      </c>
      <c r="L21" s="38" t="s">
        <v>68</v>
      </c>
      <c r="M21" s="48" t="s">
        <v>69</v>
      </c>
      <c r="N21" s="48" t="s">
        <v>70</v>
      </c>
      <c r="O21" s="48" t="s">
        <v>71</v>
      </c>
      <c r="P21" s="48" t="s">
        <v>65</v>
      </c>
      <c r="Q21" s="48" t="s">
        <v>66</v>
      </c>
      <c r="R21" s="42" t="s">
        <v>67</v>
      </c>
      <c r="S21" s="42" t="s">
        <v>68</v>
      </c>
      <c r="T21" s="54" t="s">
        <v>69</v>
      </c>
      <c r="U21" s="54" t="s">
        <v>70</v>
      </c>
      <c r="V21" s="54" t="s">
        <v>71</v>
      </c>
      <c r="W21" s="54" t="s">
        <v>65</v>
      </c>
      <c r="X21" s="54" t="s">
        <v>66</v>
      </c>
      <c r="Y21" s="42" t="s">
        <v>67</v>
      </c>
      <c r="Z21" s="42" t="s">
        <v>68</v>
      </c>
      <c r="AA21" s="42" t="s">
        <v>69</v>
      </c>
      <c r="AB21" s="54" t="s">
        <v>70</v>
      </c>
      <c r="AC21" s="54" t="s">
        <v>71</v>
      </c>
      <c r="AD21" s="54" t="s">
        <v>65</v>
      </c>
      <c r="AE21" s="54" t="s">
        <v>66</v>
      </c>
      <c r="AF21" s="42" t="s">
        <v>67</v>
      </c>
      <c r="AG21" s="52"/>
      <c r="AH21" s="52"/>
      <c r="AI21" s="52"/>
      <c r="AJ21" s="52"/>
    </row>
    <row r="22" spans="1:36" ht="18">
      <c r="A22" s="103"/>
      <c r="B22" s="51">
        <v>46296</v>
      </c>
      <c r="C22" s="51">
        <v>46297</v>
      </c>
      <c r="D22" s="43">
        <v>46298</v>
      </c>
      <c r="E22" s="43">
        <v>46299</v>
      </c>
      <c r="F22" s="55">
        <v>46300</v>
      </c>
      <c r="G22" s="55">
        <v>46301</v>
      </c>
      <c r="H22" s="55">
        <v>46302</v>
      </c>
      <c r="I22" s="51">
        <v>46303</v>
      </c>
      <c r="J22" s="41">
        <v>46304</v>
      </c>
      <c r="K22" s="41">
        <v>46305</v>
      </c>
      <c r="L22" s="39">
        <v>46306</v>
      </c>
      <c r="M22" s="49">
        <v>46307</v>
      </c>
      <c r="N22" s="49">
        <v>46308</v>
      </c>
      <c r="O22" s="49">
        <v>46309</v>
      </c>
      <c r="P22" s="49">
        <v>46310</v>
      </c>
      <c r="Q22" s="49">
        <v>46311</v>
      </c>
      <c r="R22" s="43">
        <v>46312</v>
      </c>
      <c r="S22" s="43">
        <v>46313</v>
      </c>
      <c r="T22" s="55">
        <v>46314</v>
      </c>
      <c r="U22" s="55">
        <v>46315</v>
      </c>
      <c r="V22" s="55">
        <v>46316</v>
      </c>
      <c r="W22" s="55">
        <v>46317</v>
      </c>
      <c r="X22" s="55">
        <v>46318</v>
      </c>
      <c r="Y22" s="43">
        <v>46319</v>
      </c>
      <c r="Z22" s="43">
        <v>46320</v>
      </c>
      <c r="AA22" s="43">
        <v>46321</v>
      </c>
      <c r="AB22" s="55">
        <v>46322</v>
      </c>
      <c r="AC22" s="55">
        <v>46323</v>
      </c>
      <c r="AD22" s="55">
        <v>46324</v>
      </c>
      <c r="AE22" s="55">
        <v>46325</v>
      </c>
      <c r="AF22" s="43">
        <v>46326</v>
      </c>
      <c r="AG22" s="52"/>
      <c r="AH22" s="52"/>
      <c r="AI22" s="52"/>
      <c r="AJ22" s="52"/>
    </row>
    <row r="23" spans="1:36">
      <c r="A23" s="104" t="s">
        <v>81</v>
      </c>
      <c r="B23" s="35" t="s">
        <v>68</v>
      </c>
      <c r="C23" s="47" t="s">
        <v>69</v>
      </c>
      <c r="D23" s="47" t="s">
        <v>70</v>
      </c>
      <c r="E23" s="47" t="s">
        <v>71</v>
      </c>
      <c r="F23" s="47" t="s">
        <v>65</v>
      </c>
      <c r="G23" s="47" t="s">
        <v>66</v>
      </c>
      <c r="H23" s="35" t="s">
        <v>67</v>
      </c>
      <c r="I23" s="35" t="s">
        <v>68</v>
      </c>
      <c r="J23" s="47" t="s">
        <v>69</v>
      </c>
      <c r="K23" s="47" t="s">
        <v>70</v>
      </c>
      <c r="L23" s="47" t="s">
        <v>71</v>
      </c>
      <c r="M23" s="47" t="s">
        <v>65</v>
      </c>
      <c r="N23" s="47" t="s">
        <v>66</v>
      </c>
      <c r="O23" s="35" t="s">
        <v>67</v>
      </c>
      <c r="P23" s="35" t="s">
        <v>68</v>
      </c>
      <c r="Q23" s="48" t="s">
        <v>69</v>
      </c>
      <c r="R23" s="48" t="s">
        <v>70</v>
      </c>
      <c r="S23" s="48" t="s">
        <v>71</v>
      </c>
      <c r="T23" s="48" t="s">
        <v>65</v>
      </c>
      <c r="U23" s="48" t="s">
        <v>66</v>
      </c>
      <c r="V23" s="38" t="s">
        <v>67</v>
      </c>
      <c r="W23" s="38" t="s">
        <v>68</v>
      </c>
      <c r="X23" s="48" t="s">
        <v>69</v>
      </c>
      <c r="Y23" s="48" t="s">
        <v>70</v>
      </c>
      <c r="Z23" s="47" t="s">
        <v>71</v>
      </c>
      <c r="AA23" s="48" t="s">
        <v>65</v>
      </c>
      <c r="AB23" s="48" t="s">
        <v>66</v>
      </c>
      <c r="AC23" s="38" t="s">
        <v>67</v>
      </c>
      <c r="AD23" s="38" t="s">
        <v>68</v>
      </c>
      <c r="AE23" s="48" t="s">
        <v>69</v>
      </c>
    </row>
    <row r="24" spans="1:36">
      <c r="A24" s="105"/>
      <c r="B24" s="37">
        <v>46327</v>
      </c>
      <c r="C24" s="46">
        <v>46328</v>
      </c>
      <c r="D24" s="46">
        <v>46329</v>
      </c>
      <c r="E24" s="46">
        <v>46330</v>
      </c>
      <c r="F24" s="46">
        <v>46331</v>
      </c>
      <c r="G24" s="46">
        <v>46332</v>
      </c>
      <c r="H24" s="37">
        <v>46333</v>
      </c>
      <c r="I24" s="37">
        <v>46334</v>
      </c>
      <c r="J24" s="46">
        <v>46335</v>
      </c>
      <c r="K24" s="46">
        <v>46336</v>
      </c>
      <c r="L24" s="46">
        <v>46337</v>
      </c>
      <c r="M24" s="46">
        <v>46338</v>
      </c>
      <c r="N24" s="46">
        <v>46339</v>
      </c>
      <c r="O24" s="37">
        <v>46340</v>
      </c>
      <c r="P24" s="37">
        <v>46341</v>
      </c>
      <c r="Q24" s="49">
        <v>46342</v>
      </c>
      <c r="R24" s="49">
        <v>46343</v>
      </c>
      <c r="S24" s="49">
        <v>46344</v>
      </c>
      <c r="T24" s="49">
        <v>46345</v>
      </c>
      <c r="U24" s="49">
        <v>46346</v>
      </c>
      <c r="V24" s="39">
        <v>46347</v>
      </c>
      <c r="W24" s="39">
        <v>46348</v>
      </c>
      <c r="X24" s="49">
        <v>46349</v>
      </c>
      <c r="Y24" s="49">
        <v>46350</v>
      </c>
      <c r="Z24" s="46">
        <v>46351</v>
      </c>
      <c r="AA24" s="49">
        <v>46352</v>
      </c>
      <c r="AB24" s="49">
        <v>46353</v>
      </c>
      <c r="AC24" s="39">
        <v>46354</v>
      </c>
      <c r="AD24" s="39">
        <v>46355</v>
      </c>
      <c r="AE24" s="49">
        <v>46356</v>
      </c>
    </row>
    <row r="25" spans="1:36" ht="18">
      <c r="A25" s="102" t="s">
        <v>82</v>
      </c>
      <c r="B25" s="48" t="s">
        <v>70</v>
      </c>
      <c r="C25" s="50" t="s">
        <v>71</v>
      </c>
      <c r="D25" s="50" t="s">
        <v>65</v>
      </c>
      <c r="E25" s="50" t="s">
        <v>66</v>
      </c>
      <c r="F25" s="42" t="s">
        <v>67</v>
      </c>
      <c r="G25" s="42" t="s">
        <v>68</v>
      </c>
      <c r="H25" s="54" t="s">
        <v>69</v>
      </c>
      <c r="I25" s="54" t="s">
        <v>70</v>
      </c>
      <c r="J25" s="54" t="s">
        <v>71</v>
      </c>
      <c r="K25" s="54" t="s">
        <v>65</v>
      </c>
      <c r="L25" s="54" t="s">
        <v>66</v>
      </c>
      <c r="M25" s="42" t="s">
        <v>67</v>
      </c>
      <c r="N25" s="42" t="s">
        <v>68</v>
      </c>
      <c r="O25" s="54" t="s">
        <v>69</v>
      </c>
      <c r="P25" s="54" t="s">
        <v>70</v>
      </c>
      <c r="Q25" s="54" t="s">
        <v>71</v>
      </c>
      <c r="R25" s="54" t="s">
        <v>65</v>
      </c>
      <c r="S25" s="54" t="s">
        <v>66</v>
      </c>
      <c r="T25" s="42" t="s">
        <v>67</v>
      </c>
      <c r="U25" s="42" t="s">
        <v>68</v>
      </c>
      <c r="V25" s="50" t="s">
        <v>69</v>
      </c>
      <c r="W25" s="50" t="s">
        <v>70</v>
      </c>
      <c r="X25" s="50" t="s">
        <v>71</v>
      </c>
      <c r="Y25" s="50" t="s">
        <v>65</v>
      </c>
      <c r="Z25" s="40" t="s">
        <v>66</v>
      </c>
      <c r="AA25" s="40" t="s">
        <v>67</v>
      </c>
      <c r="AB25" s="40" t="s">
        <v>68</v>
      </c>
      <c r="AC25" s="50" t="s">
        <v>69</v>
      </c>
      <c r="AD25" s="50" t="s">
        <v>70</v>
      </c>
      <c r="AE25" s="50" t="s">
        <v>71</v>
      </c>
      <c r="AF25" s="50" t="s">
        <v>65</v>
      </c>
      <c r="AG25" s="52"/>
      <c r="AH25" s="52"/>
      <c r="AI25" s="52"/>
      <c r="AJ25" s="52"/>
    </row>
    <row r="26" spans="1:36" ht="18">
      <c r="A26" s="103"/>
      <c r="B26" s="49">
        <v>46357</v>
      </c>
      <c r="C26" s="51">
        <v>46358</v>
      </c>
      <c r="D26" s="51">
        <v>46359</v>
      </c>
      <c r="E26" s="51">
        <v>46360</v>
      </c>
      <c r="F26" s="43">
        <v>46361</v>
      </c>
      <c r="G26" s="43">
        <v>46362</v>
      </c>
      <c r="H26" s="55">
        <v>46363</v>
      </c>
      <c r="I26" s="55">
        <v>46364</v>
      </c>
      <c r="J26" s="55">
        <v>46365</v>
      </c>
      <c r="K26" s="55">
        <v>46366</v>
      </c>
      <c r="L26" s="55">
        <v>46367</v>
      </c>
      <c r="M26" s="43">
        <v>46368</v>
      </c>
      <c r="N26" s="43">
        <v>46369</v>
      </c>
      <c r="O26" s="55">
        <v>46370</v>
      </c>
      <c r="P26" s="55">
        <v>46371</v>
      </c>
      <c r="Q26" s="55">
        <v>46372</v>
      </c>
      <c r="R26" s="55">
        <v>46373</v>
      </c>
      <c r="S26" s="55">
        <v>46374</v>
      </c>
      <c r="T26" s="43">
        <v>46375</v>
      </c>
      <c r="U26" s="43">
        <v>46376</v>
      </c>
      <c r="V26" s="51">
        <v>46377</v>
      </c>
      <c r="W26" s="51">
        <v>46378</v>
      </c>
      <c r="X26" s="51">
        <v>46379</v>
      </c>
      <c r="Y26" s="51">
        <v>46380</v>
      </c>
      <c r="Z26" s="41">
        <v>46381</v>
      </c>
      <c r="AA26" s="41">
        <v>46382</v>
      </c>
      <c r="AB26" s="41">
        <v>46383</v>
      </c>
      <c r="AC26" s="51">
        <v>46384</v>
      </c>
      <c r="AD26" s="51">
        <v>46385</v>
      </c>
      <c r="AE26" s="51">
        <v>46386</v>
      </c>
      <c r="AF26" s="51">
        <v>46387</v>
      </c>
      <c r="AG26" s="52"/>
      <c r="AH26" s="52"/>
      <c r="AI26" s="52"/>
      <c r="AJ26" s="52"/>
    </row>
  </sheetData>
  <sheetProtection sheet="1" objects="1" scenarios="1"/>
  <mergeCells count="15">
    <mergeCell ref="AG19:AJ20"/>
    <mergeCell ref="AC1:AF1"/>
    <mergeCell ref="A21:A22"/>
    <mergeCell ref="A23:A24"/>
    <mergeCell ref="A25:A26"/>
    <mergeCell ref="A15:A16"/>
    <mergeCell ref="A17:A18"/>
    <mergeCell ref="A19:A20"/>
    <mergeCell ref="A3:A4"/>
    <mergeCell ref="A9:A10"/>
    <mergeCell ref="A11:A12"/>
    <mergeCell ref="A13:A14"/>
    <mergeCell ref="A5:A6"/>
    <mergeCell ref="A7:A8"/>
    <mergeCell ref="B1:AA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topLeftCell="A7" workbookViewId="0">
      <selection activeCell="B16" sqref="B16"/>
    </sheetView>
  </sheetViews>
  <sheetFormatPr defaultColWidth="9.140625" defaultRowHeight="18"/>
  <cols>
    <col min="1" max="1" width="14.42578125" style="18" bestFit="1" customWidth="1"/>
    <col min="2" max="2" width="54.140625" style="6" bestFit="1" customWidth="1"/>
    <col min="3" max="16384" width="9.140625" style="6"/>
  </cols>
  <sheetData>
    <row r="1" spans="1:2">
      <c r="A1" s="18">
        <v>46016</v>
      </c>
    </row>
    <row r="2" spans="1:2">
      <c r="A2" s="18">
        <v>46023</v>
      </c>
      <c r="B2" s="6" t="s">
        <v>83</v>
      </c>
    </row>
    <row r="3" spans="1:2">
      <c r="A3" s="18">
        <v>46069</v>
      </c>
      <c r="B3" s="107" t="s">
        <v>84</v>
      </c>
    </row>
    <row r="4" spans="1:2">
      <c r="A4" s="18">
        <v>46070</v>
      </c>
      <c r="B4" s="107"/>
    </row>
    <row r="5" spans="1:2">
      <c r="A5" s="18">
        <v>46071</v>
      </c>
      <c r="B5" s="107"/>
    </row>
    <row r="6" spans="1:2">
      <c r="A6" s="18">
        <v>46072</v>
      </c>
      <c r="B6" s="107"/>
    </row>
    <row r="7" spans="1:2">
      <c r="A7" s="18">
        <v>46073</v>
      </c>
      <c r="B7" s="107"/>
    </row>
    <row r="8" spans="1:2">
      <c r="A8" s="18">
        <v>46074</v>
      </c>
      <c r="B8" s="107"/>
    </row>
    <row r="9" spans="1:2">
      <c r="A9" s="18">
        <v>46075</v>
      </c>
      <c r="B9" s="107"/>
    </row>
    <row r="10" spans="1:2">
      <c r="A10" s="18">
        <v>46080</v>
      </c>
      <c r="B10" s="6" t="s">
        <v>85</v>
      </c>
    </row>
    <row r="11" spans="1:2">
      <c r="A11" s="18">
        <v>46115</v>
      </c>
      <c r="B11" s="107" t="s">
        <v>86</v>
      </c>
    </row>
    <row r="12" spans="1:2">
      <c r="A12" s="18">
        <v>46116</v>
      </c>
      <c r="B12" s="107"/>
    </row>
    <row r="13" spans="1:2">
      <c r="A13" s="18">
        <v>46117</v>
      </c>
      <c r="B13" s="107"/>
    </row>
    <row r="14" spans="1:2">
      <c r="A14" s="18">
        <v>46118</v>
      </c>
      <c r="B14" s="107"/>
    </row>
    <row r="15" spans="1:2">
      <c r="A15" s="18">
        <v>46143</v>
      </c>
      <c r="B15" s="6" t="s">
        <v>87</v>
      </c>
    </row>
    <row r="16" spans="1:2">
      <c r="A16" s="18">
        <v>46192</v>
      </c>
      <c r="B16" s="6" t="s">
        <v>88</v>
      </c>
    </row>
    <row r="17" spans="1:2">
      <c r="A17" s="18">
        <v>46290</v>
      </c>
      <c r="B17" s="6" t="s">
        <v>89</v>
      </c>
    </row>
    <row r="18" spans="1:2">
      <c r="A18" s="18">
        <v>46293</v>
      </c>
      <c r="B18" s="6" t="s">
        <v>90</v>
      </c>
    </row>
    <row r="19" spans="1:2">
      <c r="A19" s="18">
        <v>46304</v>
      </c>
      <c r="B19" s="6" t="s">
        <v>91</v>
      </c>
    </row>
    <row r="20" spans="1:2">
      <c r="A20" s="18">
        <v>46321</v>
      </c>
      <c r="B20" s="6" t="s">
        <v>92</v>
      </c>
    </row>
    <row r="21" spans="1:2">
      <c r="A21" s="18">
        <v>46381</v>
      </c>
      <c r="B21" s="6" t="s">
        <v>93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F19"/>
  <sheetViews>
    <sheetView workbookViewId="0">
      <selection activeCell="B6" sqref="B6"/>
    </sheetView>
  </sheetViews>
  <sheetFormatPr defaultColWidth="9.140625" defaultRowHeight="14.45"/>
  <cols>
    <col min="1" max="1" width="21.42578125" style="1" bestFit="1" customWidth="1"/>
    <col min="2" max="2" width="12.7109375" style="2" customWidth="1"/>
    <col min="3" max="3" width="15.42578125" style="2" customWidth="1"/>
    <col min="4" max="4" width="6.42578125" style="1" customWidth="1"/>
    <col min="5" max="5" width="6.28515625" style="1" bestFit="1" customWidth="1"/>
    <col min="6" max="16384" width="9.140625" style="1"/>
  </cols>
  <sheetData>
    <row r="1" spans="1:6">
      <c r="A1" s="16" t="s">
        <v>94</v>
      </c>
      <c r="B1" s="27" t="s">
        <v>13</v>
      </c>
      <c r="C1" s="16" t="s">
        <v>95</v>
      </c>
      <c r="D1" s="16">
        <v>11</v>
      </c>
      <c r="E1" s="23" t="s">
        <v>30</v>
      </c>
      <c r="F1" s="1" t="s">
        <v>96</v>
      </c>
    </row>
    <row r="2" spans="1:6">
      <c r="A2" s="16" t="s">
        <v>97</v>
      </c>
      <c r="B2" s="27" t="s">
        <v>27</v>
      </c>
      <c r="C2" s="16" t="s">
        <v>72</v>
      </c>
      <c r="D2" s="16">
        <v>11</v>
      </c>
      <c r="E2" s="1" t="s">
        <v>98</v>
      </c>
      <c r="F2" s="1" t="s">
        <v>69</v>
      </c>
    </row>
    <row r="3" spans="1:6">
      <c r="A3" s="16" t="s">
        <v>99</v>
      </c>
      <c r="B3" s="27" t="s">
        <v>33</v>
      </c>
      <c r="C3" s="16" t="s">
        <v>100</v>
      </c>
      <c r="D3" s="16">
        <v>11</v>
      </c>
      <c r="E3" s="1" t="s">
        <v>101</v>
      </c>
      <c r="F3" s="1" t="s">
        <v>70</v>
      </c>
    </row>
    <row r="4" spans="1:6">
      <c r="A4" s="16" t="s">
        <v>102</v>
      </c>
      <c r="B4" s="3" t="s">
        <v>12</v>
      </c>
      <c r="C4" s="16" t="s">
        <v>74</v>
      </c>
      <c r="D4" s="16">
        <v>10</v>
      </c>
      <c r="E4" s="1" t="s">
        <v>103</v>
      </c>
      <c r="F4" s="1" t="s">
        <v>71</v>
      </c>
    </row>
    <row r="5" spans="1:6">
      <c r="A5" s="16" t="s">
        <v>104</v>
      </c>
      <c r="B5" s="27" t="s">
        <v>14</v>
      </c>
      <c r="C5" s="16" t="s">
        <v>105</v>
      </c>
      <c r="D5" s="16">
        <v>10</v>
      </c>
      <c r="E5" s="1" t="s">
        <v>106</v>
      </c>
      <c r="F5" s="1" t="s">
        <v>65</v>
      </c>
    </row>
    <row r="6" spans="1:6">
      <c r="A6" s="16" t="s">
        <v>107</v>
      </c>
      <c r="B6" s="27" t="s">
        <v>108</v>
      </c>
      <c r="C6" s="16" t="s">
        <v>0</v>
      </c>
      <c r="D6" s="16">
        <v>10</v>
      </c>
      <c r="E6" s="1" t="s">
        <v>35</v>
      </c>
      <c r="F6" s="1" t="s">
        <v>66</v>
      </c>
    </row>
    <row r="7" spans="1:6">
      <c r="A7" s="16" t="s">
        <v>109</v>
      </c>
      <c r="B7" s="27" t="s">
        <v>39</v>
      </c>
      <c r="C7" s="16" t="s">
        <v>76</v>
      </c>
      <c r="D7" s="16">
        <v>9</v>
      </c>
      <c r="E7" s="1" t="s">
        <v>110</v>
      </c>
      <c r="F7" s="1" t="s">
        <v>67</v>
      </c>
    </row>
    <row r="8" spans="1:6">
      <c r="A8" s="16" t="s">
        <v>111</v>
      </c>
      <c r="B8" s="17" t="s">
        <v>112</v>
      </c>
      <c r="C8" s="16" t="s">
        <v>113</v>
      </c>
      <c r="D8" s="16">
        <v>9</v>
      </c>
    </row>
    <row r="9" spans="1:6">
      <c r="A9" s="16" t="s">
        <v>114</v>
      </c>
      <c r="B9" s="17" t="s">
        <v>115</v>
      </c>
      <c r="C9" s="16" t="s">
        <v>116</v>
      </c>
      <c r="D9" s="16">
        <v>10</v>
      </c>
    </row>
    <row r="10" spans="1:6">
      <c r="A10" s="16" t="s">
        <v>117</v>
      </c>
      <c r="C10" s="16" t="s">
        <v>118</v>
      </c>
      <c r="D10" s="16">
        <v>10</v>
      </c>
    </row>
    <row r="11" spans="1:6">
      <c r="A11" s="16"/>
      <c r="B11" s="16"/>
      <c r="C11" s="16" t="s">
        <v>81</v>
      </c>
      <c r="D11" s="16">
        <v>10</v>
      </c>
    </row>
    <row r="12" spans="1:6">
      <c r="A12" s="16"/>
      <c r="C12" s="16" t="s">
        <v>82</v>
      </c>
      <c r="D12" s="16">
        <v>9</v>
      </c>
    </row>
    <row r="13" spans="1:6" ht="15.6">
      <c r="A13" s="5"/>
    </row>
    <row r="14" spans="1:6" ht="15.6">
      <c r="A14" s="5"/>
    </row>
    <row r="15" spans="1:6">
      <c r="B15" s="4"/>
      <c r="C15" s="4"/>
    </row>
    <row r="16" spans="1:6">
      <c r="B16" s="3"/>
      <c r="C16" s="3"/>
    </row>
    <row r="17" spans="1:3" ht="15.6">
      <c r="A17" s="5"/>
    </row>
    <row r="18" spans="1:3" ht="15.6">
      <c r="A18" s="5"/>
    </row>
    <row r="19" spans="1:3">
      <c r="B19" s="4"/>
      <c r="C19" s="4"/>
    </row>
  </sheetData>
  <sheetProtection sheet="1" objects="1" scenarios="1"/>
  <sortState xmlns:xlrd2="http://schemas.microsoft.com/office/spreadsheetml/2017/richdata2" ref="A2:A8">
    <sortCondition ref="A2:A8"/>
  </sortState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  <SharedWithUsers xmlns="e9de7944-dd7d-4cec-bbfa-08e77e35b29f">
      <UserInfo>
        <DisplayName/>
        <AccountId xsi:nil="true"/>
        <AccountType/>
      </UserInfo>
    </SharedWithUsers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6" ma:contentTypeDescription="Create a new document." ma:contentTypeScope="" ma:versionID="625fb54adf5c52fbb5f1e6d06b231a0c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236c278fcaae31c15565a39ace440d02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A08D1F-28F9-417C-8F04-FAD83E22AC95}"/>
</file>

<file path=customXml/itemProps2.xml><?xml version="1.0" encoding="utf-8"?>
<ds:datastoreItem xmlns:ds="http://schemas.openxmlformats.org/officeDocument/2006/customXml" ds:itemID="{C7F9DFAE-E968-4B44-B4FC-35956576CDBD}"/>
</file>

<file path=customXml/itemProps3.xml><?xml version="1.0" encoding="utf-8"?>
<ds:datastoreItem xmlns:ds="http://schemas.openxmlformats.org/officeDocument/2006/customXml" ds:itemID="{F6B6735A-BC76-4E68-AF41-11D73D290E3C}"/>
</file>

<file path=customXml/itemProps4.xml><?xml version="1.0" encoding="utf-8"?>
<ds:datastoreItem xmlns:ds="http://schemas.openxmlformats.org/officeDocument/2006/customXml" ds:itemID="{84E9F30A-6E67-4ACA-8235-7F2E51ED4B23}"/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Tsai, Will</cp:lastModifiedBy>
  <cp:revision/>
  <dcterms:created xsi:type="dcterms:W3CDTF">2022-11-16T06:27:58Z</dcterms:created>
  <dcterms:modified xsi:type="dcterms:W3CDTF">2026-06-20T14:21:05Z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